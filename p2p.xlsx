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Сталкрафт\"/>
    </mc:Choice>
  </mc:AlternateContent>
  <xr:revisionPtr revIDLastSave="0" documentId="13_ncr:1_{E1AC4AE9-706C-4CEC-A900-AF9608D4ECCF}" xr6:coauthVersionLast="47" xr6:coauthVersionMax="47" xr10:uidLastSave="{00000000-0000-0000-0000-000000000000}"/>
  <bookViews>
    <workbookView xWindow="-120" yWindow="-120" windowWidth="29040" windowHeight="15840" tabRatio="702" xr2:uid="{00000000-000D-0000-FFFF-FFFF00000000}"/>
  </bookViews>
  <sheets>
    <sheet name="16.02.2026" sheetId="43" r:id="rId1"/>
    <sheet name="15.02.2026 (!)" sheetId="41" r:id="rId2"/>
    <sheet name="14.02.2026" sheetId="40" r:id="rId3"/>
    <sheet name="13.02.2026" sheetId="39" r:id="rId4"/>
    <sheet name="12.02.2026" sheetId="38" r:id="rId5"/>
    <sheet name="11.02.2026" sheetId="37" r:id="rId6"/>
    <sheet name="10.02.2026" sheetId="36" r:id="rId7"/>
    <sheet name="09.02.2026" sheetId="35" r:id="rId8"/>
    <sheet name="08.02.2026" sheetId="34" r:id="rId9"/>
    <sheet name="06.02.2026" sheetId="32" r:id="rId10"/>
    <sheet name="07.02.2026" sheetId="33" r:id="rId11"/>
    <sheet name="05.02.2026" sheetId="31" r:id="rId12"/>
    <sheet name="04.02.2026" sheetId="30" r:id="rId13"/>
    <sheet name="03.02.2026" sheetId="29" r:id="rId14"/>
    <sheet name="30.01.2026" sheetId="28" r:id="rId15"/>
    <sheet name="29.01.2026 (!)" sheetId="27" r:id="rId16"/>
    <sheet name="28.01.2026 (!)" sheetId="26" r:id="rId17"/>
    <sheet name="27.01.2026 (!)" sheetId="25" r:id="rId18"/>
    <sheet name="26.01.2026" sheetId="24" r:id="rId19"/>
    <sheet name="25.01.2026" sheetId="23" r:id="rId20"/>
    <sheet name="24.01.2026" sheetId="22" r:id="rId21"/>
    <sheet name="23.01.2026" sheetId="21" r:id="rId22"/>
    <sheet name="22.01.2026" sheetId="19" r:id="rId23"/>
    <sheet name="21.01.2026 (!)" sheetId="18" r:id="rId24"/>
    <sheet name="19.01.2026" sheetId="16" r:id="rId25"/>
    <sheet name="20.01.2026" sheetId="17" r:id="rId26"/>
    <sheet name="18.01.2026" sheetId="15" r:id="rId27"/>
    <sheet name="17.01.2026" sheetId="14" r:id="rId28"/>
    <sheet name="16.01.2026" sheetId="13" r:id="rId29"/>
    <sheet name="14.01.2026 (!)" sheetId="12" r:id="rId30"/>
    <sheet name="13.01.2026" sheetId="10" r:id="rId31"/>
    <sheet name="12.01.2026" sheetId="9" r:id="rId32"/>
    <sheet name="11.01.2026" sheetId="8" r:id="rId33"/>
    <sheet name="10.01.2026" sheetId="6" r:id="rId34"/>
    <sheet name="09.01.2026" sheetId="5" r:id="rId35"/>
    <sheet name="08.01.2026" sheetId="4" r:id="rId36"/>
    <sheet name="07.01.2026" sheetId="3" r:id="rId37"/>
    <sheet name="06.01.2026" sheetId="1" r:id="rId38"/>
  </sheets>
  <definedNames>
    <definedName name="_xlnm._FilterDatabase" localSheetId="13" hidden="1">'03.02.2026'!$A$1:$E$11</definedName>
    <definedName name="_xlnm._FilterDatabase" localSheetId="12" hidden="1">'04.02.2026'!$A$1:$E$11</definedName>
    <definedName name="_xlnm._FilterDatabase" localSheetId="11" hidden="1">'05.02.2026'!$A$1:$E$11</definedName>
    <definedName name="_xlnm._FilterDatabase" localSheetId="37" hidden="1">'06.01.2026'!$A$1:$E$31</definedName>
    <definedName name="_xlnm._FilterDatabase" localSheetId="9" hidden="1">'06.02.2026'!$A$1:$E$11</definedName>
    <definedName name="_xlnm._FilterDatabase" localSheetId="36" hidden="1">'07.01.2026'!$A$1:$E$152</definedName>
    <definedName name="_xlnm._FilterDatabase" localSheetId="10" hidden="1">'07.02.2026'!$A$1:$E$11</definedName>
    <definedName name="_xlnm._FilterDatabase" localSheetId="35" hidden="1">'08.01.2026'!$A$1:$E$163</definedName>
    <definedName name="_xlnm._FilterDatabase" localSheetId="8" hidden="1">'08.02.2026'!$A$1:$E$11</definedName>
    <definedName name="_xlnm._FilterDatabase" localSheetId="34" hidden="1">'09.01.2026'!$A$1:$E$40</definedName>
    <definedName name="_xlnm._FilterDatabase" localSheetId="7" hidden="1">'09.02.2026'!$A$1:$E$11</definedName>
    <definedName name="_xlnm._FilterDatabase" localSheetId="33" hidden="1">'10.01.2026'!$A$1:$E$52</definedName>
    <definedName name="_xlnm._FilterDatabase" localSheetId="6" hidden="1">'10.02.2026'!$A$1:$E$11</definedName>
    <definedName name="_xlnm._FilterDatabase" localSheetId="32" hidden="1">'11.01.2026'!$A$1:$E$43</definedName>
    <definedName name="_xlnm._FilterDatabase" localSheetId="5" hidden="1">'11.02.2026'!$A$1:$E$11</definedName>
    <definedName name="_xlnm._FilterDatabase" localSheetId="31" hidden="1">'12.01.2026'!$A$1:$E$61</definedName>
    <definedName name="_xlnm._FilterDatabase" localSheetId="4" hidden="1">'12.02.2026'!$A$1:$E$11</definedName>
    <definedName name="_xlnm._FilterDatabase" localSheetId="30" hidden="1">'13.01.2026'!$A$1:$E$11</definedName>
    <definedName name="_xlnm._FilterDatabase" localSheetId="3" hidden="1">'13.02.2026'!$A$1:$E$11</definedName>
    <definedName name="_xlnm._FilterDatabase" localSheetId="29" hidden="1">'14.01.2026 (!)'!$A$1:$E$120</definedName>
    <definedName name="_xlnm._FilterDatabase" localSheetId="2" hidden="1">'14.02.2026'!$A$1:$E$11</definedName>
    <definedName name="_xlnm._FilterDatabase" localSheetId="1" hidden="1">'15.02.2026 (!)'!$A$1:$E$11</definedName>
    <definedName name="_xlnm._FilterDatabase" localSheetId="28" hidden="1">'16.01.2026'!$A$1:$E$40</definedName>
    <definedName name="_xlnm._FilterDatabase" localSheetId="0" hidden="1">'16.02.2026'!$A$1:$E$11</definedName>
    <definedName name="_xlnm._FilterDatabase" localSheetId="27" hidden="1">'17.01.2026'!$A$1:$E$23</definedName>
    <definedName name="_xlnm._FilterDatabase" localSheetId="26" hidden="1">'18.01.2026'!$A$1:$E$45</definedName>
    <definedName name="_xlnm._FilterDatabase" localSheetId="24" hidden="1">'19.01.2026'!$A$1:$E$24</definedName>
    <definedName name="_xlnm._FilterDatabase" localSheetId="25" hidden="1">'20.01.2026'!$A$1:$E$24</definedName>
    <definedName name="_xlnm._FilterDatabase" localSheetId="23" hidden="1">'21.01.2026 (!)'!$A$1:$E$74</definedName>
    <definedName name="_xlnm._FilterDatabase" localSheetId="22" hidden="1">'22.01.2026'!$A$1:$E$35</definedName>
    <definedName name="_xlnm._FilterDatabase" localSheetId="21" hidden="1">'23.01.2026'!$A$1:$E$11</definedName>
    <definedName name="_xlnm._FilterDatabase" localSheetId="20" hidden="1">'24.01.2026'!$A$1:$E$11</definedName>
    <definedName name="_xlnm._FilterDatabase" localSheetId="19" hidden="1">'25.01.2026'!$A$1:$E$11</definedName>
    <definedName name="_xlnm._FilterDatabase" localSheetId="18" hidden="1">'26.01.2026'!$A$1:$E$11</definedName>
    <definedName name="_xlnm._FilterDatabase" localSheetId="17" hidden="1">'27.01.2026 (!)'!$A$1:$E$11</definedName>
    <definedName name="_xlnm._FilterDatabase" localSheetId="16" hidden="1">'28.01.2026 (!)'!$A$1:$E$11</definedName>
    <definedName name="_xlnm._FilterDatabase" localSheetId="15" hidden="1">'29.01.2026 (!)'!$A$1:$E$11</definedName>
    <definedName name="_xlnm._FilterDatabase" localSheetId="14" hidden="1">'30.01.2026'!$A$1:$E$11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43" l="1"/>
  <c r="E45" i="43"/>
  <c r="E44" i="43"/>
  <c r="E43" i="43"/>
  <c r="E42" i="43"/>
  <c r="E41" i="43"/>
  <c r="E40" i="43"/>
  <c r="E39" i="43"/>
  <c r="E38" i="43"/>
  <c r="E37" i="43"/>
  <c r="E34" i="43"/>
  <c r="E35" i="43"/>
  <c r="E36" i="43"/>
  <c r="E33" i="43"/>
  <c r="E32" i="43"/>
  <c r="E31" i="43"/>
  <c r="E30" i="43"/>
  <c r="E29" i="43"/>
  <c r="E28" i="43"/>
  <c r="E27" i="43"/>
  <c r="E26" i="43"/>
  <c r="E25" i="43"/>
  <c r="E24" i="43"/>
  <c r="E23" i="43"/>
  <c r="E22" i="43"/>
  <c r="E21" i="43"/>
  <c r="E20" i="43"/>
  <c r="E19" i="43"/>
  <c r="E17" i="43"/>
  <c r="E18" i="43"/>
  <c r="E16" i="43"/>
  <c r="E15" i="43"/>
  <c r="E14" i="43"/>
  <c r="E13" i="43"/>
  <c r="E12" i="43"/>
  <c r="E11" i="43"/>
  <c r="E10" i="43"/>
  <c r="E9" i="43"/>
  <c r="E8" i="43"/>
  <c r="E6" i="43"/>
  <c r="E7" i="43"/>
  <c r="E4" i="43"/>
  <c r="E5" i="43"/>
  <c r="E3" i="43"/>
  <c r="E37" i="41"/>
  <c r="E34" i="41"/>
  <c r="E35" i="41"/>
  <c r="E36" i="41"/>
  <c r="E33" i="41"/>
  <c r="E32" i="41"/>
  <c r="E31" i="41"/>
  <c r="E29" i="41"/>
  <c r="E30" i="41"/>
  <c r="E28" i="41"/>
  <c r="E27" i="41"/>
  <c r="E26" i="41"/>
  <c r="E19" i="41"/>
  <c r="E20" i="41"/>
  <c r="E21" i="41"/>
  <c r="E22" i="41"/>
  <c r="E23" i="41"/>
  <c r="E24" i="41"/>
  <c r="E25" i="41"/>
  <c r="E10" i="41"/>
  <c r="E39" i="41" s="1"/>
  <c r="E11" i="41"/>
  <c r="E12" i="41"/>
  <c r="E13" i="41"/>
  <c r="E14" i="41"/>
  <c r="E15" i="41"/>
  <c r="E16" i="41"/>
  <c r="E17" i="41"/>
  <c r="E18" i="41"/>
  <c r="E8" i="41"/>
  <c r="E9" i="41"/>
  <c r="E4" i="41"/>
  <c r="E5" i="41"/>
  <c r="E6" i="41"/>
  <c r="E7" i="41"/>
  <c r="E3" i="41"/>
  <c r="E42" i="40"/>
  <c r="E41" i="40"/>
  <c r="E40" i="40"/>
  <c r="E38" i="40"/>
  <c r="E44" i="40" s="1"/>
  <c r="E39" i="40"/>
  <c r="E37" i="40"/>
  <c r="E31" i="40"/>
  <c r="E32" i="40"/>
  <c r="E33" i="40"/>
  <c r="E34" i="40"/>
  <c r="E35" i="40"/>
  <c r="E36" i="40"/>
  <c r="E29" i="40"/>
  <c r="E30" i="40"/>
  <c r="E28" i="40"/>
  <c r="E24" i="40"/>
  <c r="E25" i="40"/>
  <c r="E26" i="40"/>
  <c r="E27" i="40"/>
  <c r="E23" i="40"/>
  <c r="E22" i="40"/>
  <c r="E20" i="40"/>
  <c r="E21" i="40"/>
  <c r="E19" i="40"/>
  <c r="E18" i="40"/>
  <c r="E17" i="40"/>
  <c r="E16" i="40"/>
  <c r="E15" i="40"/>
  <c r="E4" i="40"/>
  <c r="E5" i="40"/>
  <c r="E6" i="40"/>
  <c r="E7" i="40"/>
  <c r="E8" i="40"/>
  <c r="E9" i="40"/>
  <c r="E10" i="40"/>
  <c r="E11" i="40"/>
  <c r="E12" i="40"/>
  <c r="E13" i="40"/>
  <c r="E14" i="40"/>
  <c r="E3" i="40"/>
  <c r="E96" i="39"/>
  <c r="E97" i="39"/>
  <c r="E98" i="39"/>
  <c r="E95" i="39"/>
  <c r="E88" i="39"/>
  <c r="E89" i="39"/>
  <c r="E90" i="39"/>
  <c r="E91" i="39"/>
  <c r="E92" i="39"/>
  <c r="E93" i="39"/>
  <c r="E94" i="39"/>
  <c r="E87" i="39"/>
  <c r="E86" i="39"/>
  <c r="E85" i="39"/>
  <c r="E84" i="39"/>
  <c r="E83" i="39"/>
  <c r="E82" i="39"/>
  <c r="E81" i="39"/>
  <c r="E80" i="39"/>
  <c r="E72" i="39"/>
  <c r="E73" i="39"/>
  <c r="E74" i="39"/>
  <c r="E75" i="39"/>
  <c r="E76" i="39"/>
  <c r="E77" i="39"/>
  <c r="E78" i="39"/>
  <c r="E79" i="39"/>
  <c r="E71" i="39"/>
  <c r="E70" i="39"/>
  <c r="E69" i="39"/>
  <c r="E68" i="39"/>
  <c r="E67" i="39"/>
  <c r="E66" i="39"/>
  <c r="E60" i="39"/>
  <c r="E61" i="39"/>
  <c r="E62" i="39"/>
  <c r="E63" i="39"/>
  <c r="E64" i="39"/>
  <c r="E65" i="39"/>
  <c r="E59" i="39"/>
  <c r="E58" i="39"/>
  <c r="E56" i="39"/>
  <c r="E57" i="39"/>
  <c r="E55" i="39"/>
  <c r="E52" i="39"/>
  <c r="E53" i="39"/>
  <c r="E54" i="39"/>
  <c r="E49" i="39"/>
  <c r="E50" i="39"/>
  <c r="E51" i="39"/>
  <c r="E41" i="39"/>
  <c r="E42" i="39"/>
  <c r="E43" i="39"/>
  <c r="E44" i="39"/>
  <c r="E45" i="39"/>
  <c r="E46" i="39"/>
  <c r="E47" i="39"/>
  <c r="E48" i="39"/>
  <c r="E40" i="39"/>
  <c r="E39" i="39"/>
  <c r="E38" i="39"/>
  <c r="E34" i="39"/>
  <c r="E35" i="39"/>
  <c r="E36" i="39"/>
  <c r="E37" i="39"/>
  <c r="E33" i="39"/>
  <c r="E30" i="39"/>
  <c r="E31" i="39"/>
  <c r="E32" i="39"/>
  <c r="E29" i="39"/>
  <c r="E28" i="39"/>
  <c r="E27" i="39"/>
  <c r="E26" i="39"/>
  <c r="E25" i="39"/>
  <c r="E24" i="39"/>
  <c r="E23" i="39"/>
  <c r="E20" i="39"/>
  <c r="E21" i="39"/>
  <c r="E22" i="39"/>
  <c r="E17" i="39"/>
  <c r="E18" i="39"/>
  <c r="E19" i="39"/>
  <c r="E16" i="39"/>
  <c r="E15" i="39"/>
  <c r="E7" i="39"/>
  <c r="E8" i="39"/>
  <c r="E9" i="39"/>
  <c r="E10" i="39"/>
  <c r="E11" i="39"/>
  <c r="E12" i="39"/>
  <c r="E13" i="39"/>
  <c r="E14" i="39"/>
  <c r="E5" i="39"/>
  <c r="E6" i="39"/>
  <c r="E4" i="39"/>
  <c r="E3" i="39"/>
  <c r="E91" i="38"/>
  <c r="E90" i="38"/>
  <c r="E89" i="38"/>
  <c r="E88" i="38"/>
  <c r="E87" i="38"/>
  <c r="E86" i="38"/>
  <c r="E84" i="38"/>
  <c r="E85" i="38"/>
  <c r="E83" i="38"/>
  <c r="E82" i="38"/>
  <c r="E80" i="38"/>
  <c r="E81" i="38"/>
  <c r="E79" i="38"/>
  <c r="E78" i="38"/>
  <c r="E77" i="38"/>
  <c r="E76" i="38"/>
  <c r="E61" i="38"/>
  <c r="E62" i="38"/>
  <c r="E63" i="38"/>
  <c r="E64" i="38"/>
  <c r="E65" i="38"/>
  <c r="E66" i="38"/>
  <c r="E67" i="38"/>
  <c r="E68" i="38"/>
  <c r="E69" i="38"/>
  <c r="E70" i="38"/>
  <c r="E71" i="38"/>
  <c r="E72" i="38"/>
  <c r="E73" i="38"/>
  <c r="E74" i="38"/>
  <c r="E75" i="38"/>
  <c r="E60" i="38"/>
  <c r="E59" i="38"/>
  <c r="E58" i="38"/>
  <c r="E57" i="38"/>
  <c r="E51" i="38"/>
  <c r="E52" i="38"/>
  <c r="E53" i="38"/>
  <c r="E54" i="38"/>
  <c r="E55" i="38"/>
  <c r="E56" i="38"/>
  <c r="E50" i="38"/>
  <c r="E49" i="38"/>
  <c r="E43" i="38"/>
  <c r="E44" i="38"/>
  <c r="E45" i="38"/>
  <c r="E46" i="38"/>
  <c r="E47" i="38"/>
  <c r="E48" i="38"/>
  <c r="E42" i="38"/>
  <c r="E30" i="38"/>
  <c r="E31" i="38"/>
  <c r="E32" i="38"/>
  <c r="E33" i="38"/>
  <c r="E34" i="38"/>
  <c r="E35" i="38"/>
  <c r="E36" i="38"/>
  <c r="E37" i="38"/>
  <c r="E38" i="38"/>
  <c r="E39" i="38"/>
  <c r="E40" i="38"/>
  <c r="E41" i="38"/>
  <c r="E29" i="38"/>
  <c r="E27" i="38"/>
  <c r="E28" i="38"/>
  <c r="E26" i="38"/>
  <c r="E25" i="38"/>
  <c r="E24" i="38"/>
  <c r="E23" i="38"/>
  <c r="E22" i="38"/>
  <c r="E14" i="38"/>
  <c r="E15" i="38"/>
  <c r="E16" i="38"/>
  <c r="E17" i="38"/>
  <c r="E18" i="38"/>
  <c r="E19" i="38"/>
  <c r="E20" i="38"/>
  <c r="E21" i="38"/>
  <c r="E11" i="38"/>
  <c r="E12" i="38"/>
  <c r="E13" i="38"/>
  <c r="E10" i="38"/>
  <c r="E8" i="38"/>
  <c r="E9" i="38"/>
  <c r="E7" i="38"/>
  <c r="E5" i="38"/>
  <c r="E6" i="38"/>
  <c r="E4" i="38"/>
  <c r="E3" i="38"/>
  <c r="E40" i="37"/>
  <c r="E37" i="37"/>
  <c r="E38" i="37"/>
  <c r="E39" i="37"/>
  <c r="E36" i="37"/>
  <c r="E35" i="37"/>
  <c r="E30" i="37"/>
  <c r="E31" i="37"/>
  <c r="E32" i="37"/>
  <c r="E33" i="37"/>
  <c r="E34" i="37"/>
  <c r="E29" i="37"/>
  <c r="E28" i="37"/>
  <c r="E27" i="37"/>
  <c r="E25" i="37"/>
  <c r="E26" i="37"/>
  <c r="E21" i="37"/>
  <c r="E22" i="37"/>
  <c r="E23" i="37"/>
  <c r="E24" i="37"/>
  <c r="E15" i="37"/>
  <c r="E16" i="37"/>
  <c r="E17" i="37"/>
  <c r="E18" i="37"/>
  <c r="E19" i="37"/>
  <c r="E20" i="37"/>
  <c r="E14" i="37"/>
  <c r="E13" i="37"/>
  <c r="E12" i="37"/>
  <c r="E11" i="37"/>
  <c r="E4" i="37"/>
  <c r="E5" i="37"/>
  <c r="E6" i="37"/>
  <c r="E7" i="37"/>
  <c r="E8" i="37"/>
  <c r="E9" i="37"/>
  <c r="E10" i="37"/>
  <c r="E3" i="37"/>
  <c r="E44" i="36"/>
  <c r="E45" i="36"/>
  <c r="E42" i="36"/>
  <c r="E43" i="36"/>
  <c r="E41" i="36"/>
  <c r="E40" i="36"/>
  <c r="E38" i="36"/>
  <c r="E39" i="36"/>
  <c r="E37" i="36"/>
  <c r="E36" i="36"/>
  <c r="E34" i="36"/>
  <c r="E35" i="36"/>
  <c r="E33" i="36"/>
  <c r="E30" i="36"/>
  <c r="E31" i="36"/>
  <c r="E32" i="36"/>
  <c r="E28" i="36"/>
  <c r="E29" i="36"/>
  <c r="E23" i="36"/>
  <c r="E24" i="36"/>
  <c r="E25" i="36"/>
  <c r="E26" i="36"/>
  <c r="E27" i="36"/>
  <c r="E22" i="36"/>
  <c r="E21" i="36"/>
  <c r="E20" i="36"/>
  <c r="E19" i="36"/>
  <c r="E18" i="36"/>
  <c r="E17" i="36"/>
  <c r="E16" i="36"/>
  <c r="E15" i="36"/>
  <c r="E14" i="36"/>
  <c r="E12" i="36"/>
  <c r="E13" i="36"/>
  <c r="E11" i="36"/>
  <c r="E5" i="36"/>
  <c r="E6" i="36"/>
  <c r="E7" i="36"/>
  <c r="E8" i="36"/>
  <c r="E9" i="36"/>
  <c r="E10" i="36"/>
  <c r="E4" i="36"/>
  <c r="E3" i="36"/>
  <c r="E14" i="35"/>
  <c r="E13" i="35"/>
  <c r="E12" i="35"/>
  <c r="E11" i="35"/>
  <c r="E10" i="35"/>
  <c r="E9" i="35"/>
  <c r="E7" i="35"/>
  <c r="E8" i="35"/>
  <c r="D5" i="35"/>
  <c r="E6" i="35"/>
  <c r="E5" i="35"/>
  <c r="E100" i="39" l="1"/>
  <c r="E93" i="38"/>
  <c r="E42" i="37"/>
  <c r="E47" i="36"/>
  <c r="E16" i="35"/>
  <c r="E4" i="35"/>
  <c r="E3" i="35"/>
  <c r="E21" i="34"/>
  <c r="E18" i="34"/>
  <c r="E19" i="34"/>
  <c r="E20" i="34"/>
  <c r="E16" i="34"/>
  <c r="E17" i="34"/>
  <c r="E12" i="34"/>
  <c r="E13" i="34"/>
  <c r="E14" i="34"/>
  <c r="E15" i="34"/>
  <c r="E5" i="34"/>
  <c r="E6" i="34"/>
  <c r="E7" i="34"/>
  <c r="E8" i="34"/>
  <c r="E9" i="34"/>
  <c r="E10" i="34"/>
  <c r="E11" i="34"/>
  <c r="E4" i="34"/>
  <c r="E3" i="34"/>
  <c r="E36" i="33"/>
  <c r="E37" i="33"/>
  <c r="E38" i="33"/>
  <c r="E39" i="33"/>
  <c r="E40" i="33"/>
  <c r="E35" i="33"/>
  <c r="E34" i="33"/>
  <c r="E33" i="33"/>
  <c r="E32" i="33"/>
  <c r="E31" i="33"/>
  <c r="E30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14" i="33"/>
  <c r="E13" i="33"/>
  <c r="E10" i="33"/>
  <c r="E11" i="33"/>
  <c r="E12" i="33"/>
  <c r="E9" i="33"/>
  <c r="E8" i="33"/>
  <c r="E7" i="33"/>
  <c r="E5" i="33"/>
  <c r="E6" i="33"/>
  <c r="E4" i="33"/>
  <c r="E3" i="33"/>
  <c r="E34" i="32"/>
  <c r="E35" i="32"/>
  <c r="E36" i="32"/>
  <c r="E37" i="32"/>
  <c r="E33" i="32"/>
  <c r="E18" i="32"/>
  <c r="E19" i="32"/>
  <c r="E20" i="32"/>
  <c r="E21" i="32"/>
  <c r="E22" i="32"/>
  <c r="E23" i="32"/>
  <c r="E24" i="32"/>
  <c r="E25" i="32"/>
  <c r="E26" i="32"/>
  <c r="E27" i="32"/>
  <c r="E28" i="32"/>
  <c r="E29" i="32"/>
  <c r="E30" i="32"/>
  <c r="E31" i="32"/>
  <c r="E32" i="32"/>
  <c r="E17" i="32"/>
  <c r="E16" i="32"/>
  <c r="E11" i="32"/>
  <c r="E12" i="32"/>
  <c r="E13" i="32"/>
  <c r="E14" i="32"/>
  <c r="E15" i="32"/>
  <c r="E10" i="32"/>
  <c r="E9" i="32"/>
  <c r="E8" i="32"/>
  <c r="E7" i="32"/>
  <c r="E6" i="32"/>
  <c r="E5" i="32"/>
  <c r="E4" i="32"/>
  <c r="E3" i="32"/>
  <c r="E26" i="31"/>
  <c r="E25" i="31"/>
  <c r="E23" i="31"/>
  <c r="E24" i="31"/>
  <c r="E18" i="31"/>
  <c r="E19" i="31"/>
  <c r="E20" i="31"/>
  <c r="E21" i="31"/>
  <c r="E22" i="31"/>
  <c r="E14" i="31"/>
  <c r="E15" i="31"/>
  <c r="E28" i="31" s="1"/>
  <c r="E16" i="31"/>
  <c r="E17" i="31"/>
  <c r="E13" i="31"/>
  <c r="E12" i="31"/>
  <c r="E11" i="31"/>
  <c r="E9" i="31"/>
  <c r="E10" i="31"/>
  <c r="E8" i="31"/>
  <c r="E4" i="31"/>
  <c r="E5" i="31"/>
  <c r="E6" i="31"/>
  <c r="E7" i="31"/>
  <c r="E3" i="31"/>
  <c r="E41" i="30"/>
  <c r="E39" i="30"/>
  <c r="E38" i="30"/>
  <c r="E37" i="30"/>
  <c r="E36" i="30"/>
  <c r="E35" i="30"/>
  <c r="E34" i="30"/>
  <c r="E33" i="30"/>
  <c r="E32" i="30"/>
  <c r="E31" i="30"/>
  <c r="E29" i="30"/>
  <c r="E30" i="30"/>
  <c r="E28" i="30"/>
  <c r="E26" i="30"/>
  <c r="E27" i="30"/>
  <c r="E25" i="30"/>
  <c r="E20" i="30"/>
  <c r="E21" i="30"/>
  <c r="E22" i="30"/>
  <c r="E23" i="30"/>
  <c r="E24" i="30"/>
  <c r="E19" i="30"/>
  <c r="E15" i="30"/>
  <c r="E16" i="30"/>
  <c r="E17" i="30"/>
  <c r="E18" i="30"/>
  <c r="E14" i="30"/>
  <c r="E13" i="30"/>
  <c r="E11" i="30"/>
  <c r="E12" i="30"/>
  <c r="E10" i="30"/>
  <c r="E9" i="30"/>
  <c r="E8" i="30"/>
  <c r="E7" i="30"/>
  <c r="E5" i="30"/>
  <c r="E6" i="30"/>
  <c r="E4" i="30"/>
  <c r="E3" i="30"/>
  <c r="E26" i="29"/>
  <c r="E25" i="29"/>
  <c r="E24" i="29"/>
  <c r="E22" i="29"/>
  <c r="E23" i="29"/>
  <c r="E21" i="29"/>
  <c r="E20" i="29"/>
  <c r="E19" i="29"/>
  <c r="E18" i="29"/>
  <c r="E17" i="29"/>
  <c r="E16" i="29"/>
  <c r="E13" i="29"/>
  <c r="E14" i="29"/>
  <c r="E15" i="29"/>
  <c r="E45" i="26"/>
  <c r="E6" i="29"/>
  <c r="E7" i="29"/>
  <c r="E8" i="29"/>
  <c r="E9" i="29"/>
  <c r="E10" i="29"/>
  <c r="E11" i="29"/>
  <c r="E12" i="29"/>
  <c r="E4" i="29"/>
  <c r="E5" i="29"/>
  <c r="E3" i="29"/>
  <c r="E24" i="28"/>
  <c r="E22" i="28"/>
  <c r="E20" i="28"/>
  <c r="E21" i="28"/>
  <c r="E17" i="28"/>
  <c r="E18" i="28"/>
  <c r="E19" i="28"/>
  <c r="E16" i="28"/>
  <c r="E12" i="28"/>
  <c r="E13" i="28"/>
  <c r="E14" i="28"/>
  <c r="E15" i="28"/>
  <c r="E9" i="28"/>
  <c r="E10" i="28"/>
  <c r="E11" i="28"/>
  <c r="E6" i="28"/>
  <c r="E7" i="28"/>
  <c r="E8" i="28"/>
  <c r="E4" i="28"/>
  <c r="E5" i="28"/>
  <c r="E3" i="28"/>
  <c r="E22" i="27"/>
  <c r="E21" i="27"/>
  <c r="E16" i="27"/>
  <c r="E17" i="27"/>
  <c r="E18" i="27"/>
  <c r="E19" i="27"/>
  <c r="E20" i="27"/>
  <c r="E15" i="27"/>
  <c r="E14" i="27"/>
  <c r="E13" i="27"/>
  <c r="E12" i="27"/>
  <c r="E11" i="27"/>
  <c r="E10" i="27"/>
  <c r="E9" i="27"/>
  <c r="E4" i="27"/>
  <c r="E5" i="27"/>
  <c r="E6" i="27"/>
  <c r="E7" i="27"/>
  <c r="E8" i="27"/>
  <c r="E3" i="27"/>
  <c r="D42" i="26"/>
  <c r="E42" i="26" s="1"/>
  <c r="E44" i="26"/>
  <c r="E43" i="26"/>
  <c r="E41" i="26"/>
  <c r="E40" i="26"/>
  <c r="E39" i="26"/>
  <c r="E38" i="26"/>
  <c r="E37" i="26"/>
  <c r="E36" i="26"/>
  <c r="E35" i="26"/>
  <c r="E34" i="26"/>
  <c r="E33" i="26"/>
  <c r="E32" i="26"/>
  <c r="E31" i="26"/>
  <c r="E30" i="26"/>
  <c r="E29" i="26"/>
  <c r="E28" i="26"/>
  <c r="E27" i="26"/>
  <c r="E26" i="26"/>
  <c r="E2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4" i="26"/>
  <c r="E5" i="26"/>
  <c r="E3" i="26"/>
  <c r="E25" i="25"/>
  <c r="E19" i="25"/>
  <c r="E20" i="25"/>
  <c r="E21" i="25"/>
  <c r="E27" i="25" s="1"/>
  <c r="E22" i="25"/>
  <c r="E23" i="25"/>
  <c r="E24" i="25"/>
  <c r="E17" i="25"/>
  <c r="E18" i="25"/>
  <c r="E16" i="25"/>
  <c r="E15" i="25"/>
  <c r="E14" i="25"/>
  <c r="E13" i="25"/>
  <c r="E6" i="25"/>
  <c r="E7" i="25"/>
  <c r="E8" i="25"/>
  <c r="E9" i="25"/>
  <c r="E10" i="25"/>
  <c r="E11" i="25"/>
  <c r="E12" i="25"/>
  <c r="E5" i="25"/>
  <c r="E4" i="25"/>
  <c r="E3" i="25"/>
  <c r="E21" i="24"/>
  <c r="E22" i="24"/>
  <c r="E23" i="24"/>
  <c r="E20" i="24"/>
  <c r="E19" i="24"/>
  <c r="E5" i="24"/>
  <c r="E6" i="24"/>
  <c r="E7" i="24"/>
  <c r="E8" i="24"/>
  <c r="E9" i="24"/>
  <c r="E10" i="24"/>
  <c r="E11" i="24"/>
  <c r="E12" i="24"/>
  <c r="E13" i="24"/>
  <c r="E14" i="24"/>
  <c r="E15" i="24"/>
  <c r="E16" i="24"/>
  <c r="E17" i="24"/>
  <c r="E18" i="24"/>
  <c r="E4" i="24"/>
  <c r="E3" i="24"/>
  <c r="E34" i="23"/>
  <c r="E33" i="23"/>
  <c r="E31" i="23"/>
  <c r="E32" i="23"/>
  <c r="E26" i="23"/>
  <c r="E27" i="23"/>
  <c r="E28" i="23"/>
  <c r="E29" i="23"/>
  <c r="E30" i="23"/>
  <c r="E25" i="23"/>
  <c r="E24" i="23"/>
  <c r="E23" i="23"/>
  <c r="E17" i="23"/>
  <c r="E18" i="23"/>
  <c r="E19" i="23"/>
  <c r="E20" i="23"/>
  <c r="E21" i="23"/>
  <c r="E22" i="23"/>
  <c r="E16" i="23"/>
  <c r="E15" i="23"/>
  <c r="E14" i="23"/>
  <c r="E13" i="23"/>
  <c r="E10" i="23"/>
  <c r="E11" i="23"/>
  <c r="E12" i="23"/>
  <c r="E23" i="34" l="1"/>
  <c r="E42" i="33"/>
  <c r="E39" i="32"/>
  <c r="E28" i="29"/>
  <c r="E24" i="27"/>
  <c r="E47" i="26"/>
  <c r="E25" i="24"/>
  <c r="E9" i="23"/>
  <c r="E4" i="23"/>
  <c r="E5" i="23"/>
  <c r="E6" i="23"/>
  <c r="E7" i="23"/>
  <c r="E8" i="23"/>
  <c r="E33" i="22"/>
  <c r="E3" i="23"/>
  <c r="E36" i="23" s="1"/>
  <c r="E32" i="22"/>
  <c r="E31" i="22"/>
  <c r="E35" i="22" s="1"/>
  <c r="E25" i="22"/>
  <c r="E26" i="22"/>
  <c r="E27" i="22"/>
  <c r="E28" i="22"/>
  <c r="E29" i="22"/>
  <c r="E30" i="22"/>
  <c r="E24" i="22"/>
  <c r="E23" i="22"/>
  <c r="E22" i="22"/>
  <c r="E20" i="22"/>
  <c r="E21" i="22"/>
  <c r="E19" i="22"/>
  <c r="E18" i="22"/>
  <c r="E16" i="22"/>
  <c r="E17" i="22"/>
  <c r="E10" i="22"/>
  <c r="E11" i="22"/>
  <c r="E12" i="22"/>
  <c r="E13" i="22"/>
  <c r="E14" i="22"/>
  <c r="E15" i="22"/>
  <c r="E9" i="22"/>
  <c r="E8" i="22"/>
  <c r="E4" i="22"/>
  <c r="E5" i="22"/>
  <c r="E6" i="22"/>
  <c r="E7" i="22"/>
  <c r="E3" i="22"/>
  <c r="E51" i="21"/>
  <c r="E49" i="21"/>
  <c r="E50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34" i="21"/>
  <c r="E35" i="21"/>
  <c r="E36" i="21"/>
  <c r="E37" i="21"/>
  <c r="E38" i="21"/>
  <c r="E39" i="21"/>
  <c r="E40" i="21"/>
  <c r="E41" i="21"/>
  <c r="E42" i="21"/>
  <c r="E43" i="21"/>
  <c r="E44" i="21"/>
  <c r="E45" i="21"/>
  <c r="E46" i="21"/>
  <c r="E53" i="21" s="1"/>
  <c r="E47" i="21"/>
  <c r="E48" i="21"/>
  <c r="E14" i="21"/>
  <c r="E15" i="21"/>
  <c r="E13" i="21"/>
  <c r="E12" i="21"/>
  <c r="E11" i="21"/>
  <c r="E8" i="21"/>
  <c r="E9" i="21"/>
  <c r="E10" i="21"/>
  <c r="E7" i="21"/>
  <c r="E5" i="21"/>
  <c r="E6" i="21"/>
  <c r="E4" i="21"/>
  <c r="E3" i="21"/>
  <c r="E33" i="19"/>
  <c r="E29" i="19"/>
  <c r="E30" i="19"/>
  <c r="E31" i="19"/>
  <c r="E32" i="19"/>
  <c r="E28" i="19"/>
  <c r="E25" i="19"/>
  <c r="E26" i="19"/>
  <c r="E27" i="19"/>
  <c r="E20" i="19"/>
  <c r="E21" i="19"/>
  <c r="E22" i="19"/>
  <c r="E23" i="19"/>
  <c r="E24" i="19"/>
  <c r="E19" i="19"/>
  <c r="E18" i="19"/>
  <c r="E17" i="19"/>
  <c r="E16" i="19"/>
  <c r="E15" i="19"/>
  <c r="E14" i="19"/>
  <c r="E9" i="19"/>
  <c r="E10" i="19"/>
  <c r="E11" i="19"/>
  <c r="E12" i="19"/>
  <c r="E13" i="19"/>
  <c r="E4" i="19"/>
  <c r="E5" i="19"/>
  <c r="E6" i="19"/>
  <c r="E7" i="19"/>
  <c r="E8" i="19"/>
  <c r="E3" i="19"/>
  <c r="E71" i="18"/>
  <c r="E72" i="18"/>
  <c r="E66" i="18"/>
  <c r="E67" i="18"/>
  <c r="E68" i="18"/>
  <c r="E69" i="18"/>
  <c r="E70" i="18"/>
  <c r="E64" i="18"/>
  <c r="E65" i="18"/>
  <c r="E58" i="18"/>
  <c r="E59" i="18"/>
  <c r="E60" i="18"/>
  <c r="E61" i="18"/>
  <c r="E62" i="18"/>
  <c r="E63" i="18"/>
  <c r="E50" i="18"/>
  <c r="E51" i="18"/>
  <c r="E52" i="18"/>
  <c r="E53" i="18"/>
  <c r="E54" i="18"/>
  <c r="E55" i="18"/>
  <c r="E56" i="18"/>
  <c r="E57" i="18"/>
  <c r="E49" i="18"/>
  <c r="E48" i="18"/>
  <c r="E47" i="18"/>
  <c r="E46" i="18"/>
  <c r="E45" i="18"/>
  <c r="E43" i="18"/>
  <c r="E44" i="18"/>
  <c r="E42" i="18"/>
  <c r="E41" i="18"/>
  <c r="E38" i="18"/>
  <c r="E39" i="18"/>
  <c r="E40" i="18"/>
  <c r="E37" i="18"/>
  <c r="E36" i="18"/>
  <c r="E35" i="18"/>
  <c r="E34" i="18"/>
  <c r="E28" i="18"/>
  <c r="E29" i="18"/>
  <c r="E30" i="18"/>
  <c r="E31" i="18"/>
  <c r="E32" i="18"/>
  <c r="E33" i="18"/>
  <c r="E27" i="18"/>
  <c r="E26" i="18"/>
  <c r="E25" i="18"/>
  <c r="E24" i="18"/>
  <c r="E22" i="18"/>
  <c r="E23" i="18"/>
  <c r="E21" i="18"/>
  <c r="E20" i="18"/>
  <c r="E19" i="18"/>
  <c r="E18" i="18"/>
  <c r="E17" i="18"/>
  <c r="E14" i="18"/>
  <c r="E15" i="18"/>
  <c r="E16" i="18"/>
  <c r="E13" i="18"/>
  <c r="E12" i="18"/>
  <c r="E10" i="18"/>
  <c r="E11" i="18"/>
  <c r="E9" i="18"/>
  <c r="E8" i="18"/>
  <c r="E7" i="18"/>
  <c r="E6" i="18"/>
  <c r="E5" i="18"/>
  <c r="E4" i="18"/>
  <c r="E3" i="18"/>
  <c r="E24" i="17"/>
  <c r="E22" i="17"/>
  <c r="E21" i="17"/>
  <c r="E20" i="17"/>
  <c r="E19" i="17"/>
  <c r="E18" i="17"/>
  <c r="E17" i="17"/>
  <c r="E13" i="17"/>
  <c r="E14" i="17"/>
  <c r="E15" i="17"/>
  <c r="E16" i="17"/>
  <c r="E11" i="17"/>
  <c r="E12" i="17"/>
  <c r="E10" i="17"/>
  <c r="E24" i="16"/>
  <c r="E9" i="17"/>
  <c r="E8" i="17"/>
  <c r="E7" i="17"/>
  <c r="E6" i="17"/>
  <c r="E4" i="17"/>
  <c r="E5" i="17"/>
  <c r="E3" i="17"/>
  <c r="E22" i="16"/>
  <c r="E21" i="16"/>
  <c r="E14" i="16"/>
  <c r="E15" i="16"/>
  <c r="E16" i="16"/>
  <c r="E17" i="16"/>
  <c r="E18" i="16"/>
  <c r="E19" i="16"/>
  <c r="E20" i="16"/>
  <c r="E12" i="16"/>
  <c r="E13" i="16"/>
  <c r="E9" i="16"/>
  <c r="E10" i="16"/>
  <c r="E11" i="16"/>
  <c r="E6" i="16"/>
  <c r="E7" i="16"/>
  <c r="E8" i="16"/>
  <c r="E5" i="16"/>
  <c r="E4" i="16"/>
  <c r="E30" i="1"/>
  <c r="E3" i="16"/>
  <c r="E43" i="15"/>
  <c r="E42" i="15"/>
  <c r="E41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E45" i="15" s="1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3" i="14"/>
  <c r="E23" i="14" s="1"/>
  <c r="E38" i="13"/>
  <c r="E37" i="13"/>
  <c r="E36" i="13"/>
  <c r="E35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4" i="13"/>
  <c r="E3" i="13"/>
  <c r="E117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4" i="12"/>
  <c r="E3" i="12"/>
  <c r="E9" i="10"/>
  <c r="E8" i="10"/>
  <c r="E7" i="10"/>
  <c r="E6" i="10"/>
  <c r="E5" i="10"/>
  <c r="E4" i="10"/>
  <c r="E3" i="10"/>
  <c r="E11" i="10" s="1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61" i="9" s="1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E3" i="8"/>
  <c r="E43" i="8" s="1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52" i="6" s="1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40" i="5" s="1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163" i="4" s="1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152" i="3" s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35" i="19" l="1"/>
  <c r="E74" i="18"/>
  <c r="E40" i="13"/>
  <c r="E120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obkaiter</author>
  </authors>
  <commentList>
    <comment ref="C29" authorId="0" shapeId="0" xr:uid="{8C799A12-627D-48D9-BE7A-B7DB4BF889FD}">
      <text>
        <r>
          <rPr>
            <b/>
            <sz val="9"/>
            <color indexed="81"/>
            <rFont val="Tahoma"/>
            <family val="2"/>
            <charset val="204"/>
          </rPr>
          <t>obkaiter:</t>
        </r>
        <r>
          <rPr>
            <sz val="9"/>
            <color indexed="81"/>
            <rFont val="Tahoma"/>
            <family val="2"/>
            <charset val="204"/>
          </rPr>
          <t xml:space="preserve">
праздник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obkaiter</author>
  </authors>
  <commentList>
    <comment ref="D4" authorId="0" shapeId="0" xr:uid="{E74BEE3A-B0EC-407D-AB5E-2D8A5B32BE1E}">
      <text>
        <r>
          <rPr>
            <b/>
            <sz val="9"/>
            <color indexed="81"/>
            <rFont val="Tahoma"/>
            <family val="2"/>
            <charset val="204"/>
          </rPr>
          <t>obkaiter:</t>
        </r>
        <r>
          <rPr>
            <sz val="9"/>
            <color indexed="81"/>
            <rFont val="Tahoma"/>
            <family val="2"/>
            <charset val="204"/>
          </rPr>
          <t xml:space="preserve">
пиздец бля</t>
        </r>
      </text>
    </comment>
  </commentList>
</comments>
</file>

<file path=xl/sharedStrings.xml><?xml version="1.0" encoding="utf-8"?>
<sst xmlns="http://schemas.openxmlformats.org/spreadsheetml/2006/main" count="1953" uniqueCount="114">
  <si>
    <t>№</t>
  </si>
  <si>
    <t>Название</t>
  </si>
  <si>
    <t>Стоимость покупки</t>
  </si>
  <si>
    <t>Приход</t>
  </si>
  <si>
    <t>Прибыль</t>
  </si>
  <si>
    <t>Комбинезон «Ганимед»</t>
  </si>
  <si>
    <t>Бронескелет «Альбатрос-Перехватчик»</t>
  </si>
  <si>
    <t>HK MP7A2</t>
  </si>
  <si>
    <t>Накладные расходы:</t>
  </si>
  <si>
    <t>Суммарная прибыль:</t>
  </si>
  <si>
    <t>Детектор узкого диапазона «Эльбрус»</t>
  </si>
  <si>
    <t>АК-308</t>
  </si>
  <si>
    <t>СВ-98</t>
  </si>
  <si>
    <t>Контейнер «КРАБ-6»</t>
  </si>
  <si>
    <t>HK416</t>
  </si>
  <si>
    <t>Прицел коллиматорный Barska</t>
  </si>
  <si>
    <t>Глушитель Salvo 12</t>
  </si>
  <si>
    <t>KS-12 Komrad</t>
  </si>
  <si>
    <t>FN SCAR-H</t>
  </si>
  <si>
    <t>Steyr AUG A3</t>
  </si>
  <si>
    <t>Экзоброня «Альбатрос-Лазутчик»</t>
  </si>
  <si>
    <t>Gerber Downrange Tomahawk</t>
  </si>
  <si>
    <t>Комбинезон «Тонга»</t>
  </si>
  <si>
    <t>Барабанный магазин AA-12</t>
  </si>
  <si>
    <t>Контейнер «КСМ»</t>
  </si>
  <si>
    <t>QBU-191</t>
  </si>
  <si>
    <t>Магазин 7.62 NATO PMAG, черный</t>
  </si>
  <si>
    <t>Барабанный магазин 7.62x39</t>
  </si>
  <si>
    <t>Барабанный магазин 5.45 в чехле</t>
  </si>
  <si>
    <t>Барабанный магазин 5.56 NATO EMAG</t>
  </si>
  <si>
    <t>Jagdkommando</t>
  </si>
  <si>
    <t>Глушитель FA556 Mini</t>
  </si>
  <si>
    <t>Рюкзак NPA</t>
  </si>
  <si>
    <t>ВСК-94</t>
  </si>
  <si>
    <t>Экзоброня «Альбатрос-Разведчик»</t>
  </si>
  <si>
    <t>Эргономичный магазин 5.56</t>
  </si>
  <si>
    <t>АК-12</t>
  </si>
  <si>
    <t>Тяжелый бронекостюм «Идущий в метели»</t>
  </si>
  <si>
    <t>Премиум на 30 дней</t>
  </si>
  <si>
    <t>РПК-16</t>
  </si>
  <si>
    <t>Стандартные инструменты</t>
  </si>
  <si>
    <t>Эргономичный магазин 9x39</t>
  </si>
  <si>
    <t>Моток медной проволоки</t>
  </si>
  <si>
    <t>Эргономичный магазин 7.62 NATO</t>
  </si>
  <si>
    <t>Золотые минералы</t>
  </si>
  <si>
    <t>Набор специй</t>
  </si>
  <si>
    <t>АКС-74</t>
  </si>
  <si>
    <t>Эссенция сброса</t>
  </si>
  <si>
    <t>SIG SG 550 Sniper</t>
  </si>
  <si>
    <t>Чернобыльская ромашка</t>
  </si>
  <si>
    <t xml:space="preserve"> </t>
  </si>
  <si>
    <t>Эргономичный магазин 7.62x39</t>
  </si>
  <si>
    <t>HK PSG1</t>
  </si>
  <si>
    <t>M1014</t>
  </si>
  <si>
    <t>HK417</t>
  </si>
  <si>
    <t>Остатки сигнального процессора</t>
  </si>
  <si>
    <t>Самодельный ЛЦУ</t>
  </si>
  <si>
    <t>Барабанный магазин 5.56 NATO черный</t>
  </si>
  <si>
    <t>Полыхающий срачник</t>
  </si>
  <si>
    <t>Огромный подарок</t>
  </si>
  <si>
    <t>Кейс 2-го уровня  Ёлочки</t>
  </si>
  <si>
    <t>Камень Жмых-Вжух-Плюх</t>
  </si>
  <si>
    <t>Пси-маячок</t>
  </si>
  <si>
    <t>Цветущий северный мох</t>
  </si>
  <si>
    <t>Дрожжи</t>
  </si>
  <si>
    <t>Мякоть</t>
  </si>
  <si>
    <t>Концентрированная лимбоплазма</t>
  </si>
  <si>
    <t>РМО-93</t>
  </si>
  <si>
    <t xml:space="preserve">Премиум на 180 дней </t>
  </si>
  <si>
    <t>Прицел оптический Sig Sauer</t>
  </si>
  <si>
    <t>Cheytac M300</t>
  </si>
  <si>
    <t>Вывод: не торговать в первый день вывода акционного кейса</t>
  </si>
  <si>
    <t>Контейнер «Берлога-6»</t>
  </si>
  <si>
    <t>Боевой набор</t>
  </si>
  <si>
    <t>Цветущий рыжий папоротник</t>
  </si>
  <si>
    <t>Портативный квантовый генератор</t>
  </si>
  <si>
    <t>Подарки</t>
  </si>
  <si>
    <t>Кейс 5-го уровня  Ёлочки</t>
  </si>
  <si>
    <t>Пламегаситель AKademia Тьма</t>
  </si>
  <si>
    <t>Протоартефакты</t>
  </si>
  <si>
    <t>Солянка</t>
  </si>
  <si>
    <t>Премиум на 180 дней</t>
  </si>
  <si>
    <t xml:space="preserve">Солянка </t>
  </si>
  <si>
    <t>Блок данных «Лямбда»</t>
  </si>
  <si>
    <t>МР-412</t>
  </si>
  <si>
    <t>Коктейль «Незабываемый»</t>
  </si>
  <si>
    <t>Морфин</t>
  </si>
  <si>
    <t>Премиум на 90 дней</t>
  </si>
  <si>
    <t>Темный Лимб</t>
  </si>
  <si>
    <t>Аммиак</t>
  </si>
  <si>
    <t>Продвинутые запчасти</t>
  </si>
  <si>
    <t>Кислотный кристал</t>
  </si>
  <si>
    <t>Ingram MAC-10</t>
  </si>
  <si>
    <t>Янтарная полынь</t>
  </si>
  <si>
    <t>Эргономичный магазин 5.45</t>
  </si>
  <si>
    <t>Дешевые инструменты</t>
  </si>
  <si>
    <t>M4 LB</t>
  </si>
  <si>
    <t>Крупный рассольник</t>
  </si>
  <si>
    <t>Очищенное вещество 07270</t>
  </si>
  <si>
    <t>Derya MK-12 AS-103S</t>
  </si>
  <si>
    <t>Ядро модуля</t>
  </si>
  <si>
    <t>Стандартные запчасти</t>
  </si>
  <si>
    <t>Барабанный магазин 5.45</t>
  </si>
  <si>
    <t>Катализатор</t>
  </si>
  <si>
    <t>Модифицированная аномальная батарея</t>
  </si>
  <si>
    <t>Протоартефакт</t>
  </si>
  <si>
    <t>Набор компонентов оружия (Мастер)</t>
  </si>
  <si>
    <t>Азотная кислота</t>
  </si>
  <si>
    <t>Аномальная пыль</t>
  </si>
  <si>
    <t>Рюкзак «Хелбой-У»</t>
  </si>
  <si>
    <t>Нестабильная аномальная батарея</t>
  </si>
  <si>
    <t>Блок данных «Бета»</t>
  </si>
  <si>
    <t>Армейский аккумулятор</t>
  </si>
  <si>
    <t>Блок данных «Гамма»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</si>
</sst>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₽&quot;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7">
    <xf numFmtId="0" fontId="0" fillId="0" borderId="0" xfId="0"/>
    <xf numFmtId="164" fontId="0" fillId="0" borderId="0" xfId="0" applyNumberFormat="1"/>
    <xf numFmtId="0" fontId="26" fillId="0" borderId="0" xfId="0" applyFont="1" applyBorder="1" applyAlignment="1">
      <alignment horizontal="center" vertical="center"/>
    </xf>
    <xf numFmtId="164" fontId="26" fillId="0" borderId="0" xfId="0" applyNumberFormat="1" applyFont="1" applyBorder="1" applyAlignment="1">
      <alignment horizontal="center" vertical="center"/>
    </xf>
    <xf numFmtId="0" fontId="0" fillId="0" borderId="0" xfId="0" applyBorder="1"/>
    <xf numFmtId="164" fontId="0" fillId="0" borderId="0" xfId="0" applyNumberFormat="1" applyBorder="1" applyAlignment="1">
      <alignment horizontal="right"/>
    </xf>
    <xf numFmtId="164" fontId="0" fillId="0" borderId="0" xfId="0" applyNumberFormat="1" applyBorder="1"/>
    <xf numFmtId="164" fontId="25" fillId="0" borderId="0" xfId="0" applyNumberFormat="1" applyFont="1" applyBorder="1"/>
    <xf numFmtId="164" fontId="26" fillId="0" borderId="0" xfId="0" applyNumberFormat="1" applyFont="1" applyBorder="1"/>
    <xf numFmtId="164" fontId="26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9" fillId="0" borderId="0" xfId="0" applyFont="1" applyBorder="1" applyAlignment="1">
      <alignment horizontal="left"/>
    </xf>
    <xf numFmtId="3" fontId="0" fillId="0" borderId="0" xfId="0" applyNumberFormat="1" applyBorder="1"/>
    <xf numFmtId="164" fontId="25" fillId="0" borderId="0" xfId="0" applyNumberFormat="1" applyFont="1" applyBorder="1" applyAlignment="1">
      <alignment horizontal="right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/>
    <xf numFmtId="0" fontId="26" fillId="0" borderId="0" xfId="0" applyFont="1" applyAlignment="1">
      <alignment horizontal="left" vertical="center"/>
    </xf>
    <xf numFmtId="0" fontId="26" fillId="0" borderId="0" xfId="0" applyFont="1" applyBorder="1" applyAlignment="1">
      <alignment horizontal="center" vertical="center"/>
    </xf>
    <xf numFmtId="0" fontId="0" fillId="0" borderId="0" xfId="0" applyFill="1" applyBorder="1"/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64" fontId="24" fillId="0" borderId="0" xfId="0" applyNumberFormat="1" applyFont="1" applyBorder="1" applyAlignment="1">
      <alignment vertical="center"/>
    </xf>
    <xf numFmtId="164" fontId="24" fillId="0" borderId="0" xfId="0" applyNumberFormat="1" applyFont="1" applyBorder="1"/>
    <xf numFmtId="164" fontId="0" fillId="0" borderId="0" xfId="0" applyNumberFormat="1" applyFill="1" applyBorder="1"/>
    <xf numFmtId="0" fontId="26" fillId="0" borderId="0" xfId="0" applyFont="1" applyBorder="1" applyAlignment="1">
      <alignment horizontal="center" vertical="center"/>
    </xf>
    <xf numFmtId="164" fontId="23" fillId="0" borderId="0" xfId="0" applyNumberFormat="1" applyFont="1" applyBorder="1"/>
    <xf numFmtId="164" fontId="23" fillId="0" borderId="0" xfId="0" applyNumberFormat="1" applyFont="1" applyBorder="1" applyAlignment="1">
      <alignment vertical="center"/>
    </xf>
    <xf numFmtId="0" fontId="23" fillId="0" borderId="0" xfId="0" applyFont="1" applyBorder="1"/>
    <xf numFmtId="0" fontId="23" fillId="0" borderId="0" xfId="0" applyFont="1" applyFill="1" applyBorder="1"/>
    <xf numFmtId="164" fontId="22" fillId="0" borderId="0" xfId="0" applyNumberFormat="1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164" fontId="21" fillId="0" borderId="0" xfId="0" applyNumberFormat="1" applyFont="1" applyBorder="1"/>
    <xf numFmtId="164" fontId="21" fillId="0" borderId="0" xfId="0" applyNumberFormat="1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0" fillId="0" borderId="0" xfId="0" applyFont="1" applyBorder="1"/>
    <xf numFmtId="164" fontId="20" fillId="0" borderId="0" xfId="0" applyNumberFormat="1" applyFont="1" applyBorder="1" applyAlignment="1">
      <alignment vertical="center"/>
    </xf>
    <xf numFmtId="164" fontId="20" fillId="0" borderId="0" xfId="0" applyNumberFormat="1" applyFont="1" applyBorder="1"/>
    <xf numFmtId="164" fontId="19" fillId="0" borderId="0" xfId="0" applyNumberFormat="1" applyFont="1" applyBorder="1"/>
    <xf numFmtId="164" fontId="19" fillId="0" borderId="0" xfId="0" applyNumberFormat="1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64" fontId="18" fillId="0" borderId="0" xfId="0" applyNumberFormat="1" applyFont="1" applyBorder="1" applyAlignment="1">
      <alignment vertical="center"/>
    </xf>
    <xf numFmtId="164" fontId="18" fillId="0" borderId="0" xfId="0" applyNumberFormat="1" applyFont="1" applyBorder="1"/>
    <xf numFmtId="0" fontId="26" fillId="0" borderId="0" xfId="0" applyFont="1" applyBorder="1" applyAlignment="1">
      <alignment horizontal="center" vertical="center"/>
    </xf>
    <xf numFmtId="164" fontId="17" fillId="0" borderId="0" xfId="0" applyNumberFormat="1" applyFont="1" applyBorder="1" applyAlignment="1">
      <alignment vertical="center"/>
    </xf>
    <xf numFmtId="164" fontId="17" fillId="0" borderId="0" xfId="0" applyNumberFormat="1" applyFont="1" applyBorder="1"/>
    <xf numFmtId="0" fontId="26" fillId="0" borderId="0" xfId="0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64" fontId="16" fillId="0" borderId="0" xfId="0" applyNumberFormat="1" applyFont="1" applyBorder="1"/>
    <xf numFmtId="164" fontId="16" fillId="0" borderId="0" xfId="0" applyNumberFormat="1" applyFont="1" applyBorder="1" applyAlignment="1">
      <alignment vertical="center"/>
    </xf>
    <xf numFmtId="0" fontId="15" fillId="0" borderId="0" xfId="0" applyFont="1" applyBorder="1"/>
    <xf numFmtId="0" fontId="15" fillId="0" borderId="0" xfId="0" applyFont="1" applyFill="1" applyBorder="1"/>
    <xf numFmtId="0" fontId="26" fillId="0" borderId="0" xfId="0" applyFont="1" applyBorder="1" applyAlignment="1">
      <alignment horizontal="center" vertical="center"/>
    </xf>
    <xf numFmtId="0" fontId="14" fillId="0" borderId="0" xfId="0" applyFont="1" applyFill="1" applyBorder="1"/>
    <xf numFmtId="164" fontId="13" fillId="0" borderId="0" xfId="0" applyNumberFormat="1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12" fillId="0" borderId="0" xfId="0" applyNumberFormat="1" applyFont="1" applyBorder="1" applyAlignment="1">
      <alignment vertical="center"/>
    </xf>
    <xf numFmtId="164" fontId="12" fillId="0" borderId="0" xfId="0" applyNumberFormat="1" applyFont="1" applyBorder="1"/>
    <xf numFmtId="0" fontId="11" fillId="0" borderId="0" xfId="0" applyFont="1" applyBorder="1"/>
    <xf numFmtId="0" fontId="26" fillId="0" borderId="0" xfId="0" applyFont="1" applyBorder="1" applyAlignment="1">
      <alignment horizontal="center" vertical="center"/>
    </xf>
    <xf numFmtId="0" fontId="10" fillId="0" borderId="0" xfId="0" applyFont="1" applyFill="1" applyBorder="1"/>
    <xf numFmtId="0" fontId="26" fillId="0" borderId="0" xfId="0" applyFont="1" applyBorder="1" applyAlignment="1">
      <alignment horizontal="center" vertical="center"/>
    </xf>
    <xf numFmtId="0" fontId="9" fillId="0" borderId="0" xfId="0" applyFont="1" applyBorder="1"/>
    <xf numFmtId="164" fontId="9" fillId="0" borderId="0" xfId="0" applyNumberFormat="1" applyFont="1" applyBorder="1" applyAlignment="1">
      <alignment vertical="center"/>
    </xf>
    <xf numFmtId="164" fontId="9" fillId="0" borderId="0" xfId="0" applyNumberFormat="1" applyFont="1" applyBorder="1"/>
    <xf numFmtId="0" fontId="9" fillId="0" borderId="0" xfId="0" applyFont="1" applyFill="1" applyBorder="1"/>
    <xf numFmtId="0" fontId="26" fillId="0" borderId="0" xfId="0" applyFont="1" applyBorder="1" applyAlignment="1">
      <alignment horizontal="center" vertical="center"/>
    </xf>
    <xf numFmtId="0" fontId="8" fillId="0" borderId="0" xfId="0" applyFont="1" applyFill="1" applyBorder="1"/>
    <xf numFmtId="0" fontId="26" fillId="0" borderId="0" xfId="0" applyFont="1" applyBorder="1" applyAlignment="1">
      <alignment horizontal="center" vertical="center"/>
    </xf>
    <xf numFmtId="0" fontId="7" fillId="0" borderId="0" xfId="0" applyFont="1" applyBorder="1"/>
    <xf numFmtId="164" fontId="7" fillId="0" borderId="0" xfId="0" applyNumberFormat="1" applyFont="1" applyBorder="1" applyAlignment="1">
      <alignment vertical="center"/>
    </xf>
    <xf numFmtId="0" fontId="7" fillId="0" borderId="0" xfId="0" applyFont="1" applyFill="1" applyBorder="1"/>
    <xf numFmtId="0" fontId="26" fillId="0" borderId="0" xfId="0" applyFont="1" applyBorder="1" applyAlignment="1">
      <alignment horizontal="center" vertical="center"/>
    </xf>
    <xf numFmtId="0" fontId="6" fillId="0" borderId="0" xfId="0" applyFont="1" applyFill="1" applyBorder="1"/>
    <xf numFmtId="164" fontId="6" fillId="0" borderId="0" xfId="0" applyNumberFormat="1" applyFont="1" applyBorder="1" applyAlignment="1">
      <alignment vertical="center"/>
    </xf>
    <xf numFmtId="164" fontId="6" fillId="0" borderId="0" xfId="0" applyNumberFormat="1" applyFont="1" applyBorder="1"/>
    <xf numFmtId="0" fontId="26" fillId="0" borderId="0" xfId="0" applyFont="1" applyBorder="1" applyAlignment="1">
      <alignment horizontal="center" vertical="center"/>
    </xf>
    <xf numFmtId="0" fontId="5" fillId="0" borderId="0" xfId="0" applyFont="1" applyBorder="1"/>
    <xf numFmtId="164" fontId="5" fillId="0" borderId="0" xfId="0" applyNumberFormat="1" applyFont="1" applyBorder="1" applyAlignment="1">
      <alignment vertical="center"/>
    </xf>
    <xf numFmtId="164" fontId="5" fillId="0" borderId="0" xfId="0" applyNumberFormat="1" applyFont="1" applyBorder="1"/>
    <xf numFmtId="164" fontId="4" fillId="0" borderId="0" xfId="0" applyNumberFormat="1" applyFont="1" applyBorder="1"/>
    <xf numFmtId="0" fontId="26" fillId="0" borderId="0" xfId="0" applyFont="1" applyBorder="1" applyAlignment="1">
      <alignment horizontal="center" vertical="center"/>
    </xf>
    <xf numFmtId="0" fontId="3" fillId="0" borderId="0" xfId="0" applyFont="1" applyBorder="1"/>
    <xf numFmtId="164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/>
    <xf numFmtId="14" fontId="26" fillId="0" borderId="0" xfId="0" applyNumberFormat="1" applyFont="1" applyBorder="1" applyAlignment="1">
      <alignment horizontal="center"/>
    </xf>
    <xf numFmtId="0" fontId="26" fillId="0" borderId="0" xfId="0" applyFont="1" applyBorder="1" applyAlignment="1">
      <alignment horizontal="center"/>
    </xf>
    <xf numFmtId="164" fontId="26" fillId="0" borderId="0" xfId="0" applyNumberFormat="1" applyFont="1" applyBorder="1" applyAlignment="1">
      <alignment horizontal="right" vertical="center"/>
    </xf>
    <xf numFmtId="14" fontId="26" fillId="0" borderId="0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1" fillId="0" borderId="0" xfId="0" applyFont="1" applyBorder="1"/>
    <xf numFmtId="16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/>
    <xf numFmtId="164" fontId="1" fillId="0" borderId="0" xfId="0" applyNumberFormat="1" applyFont="1" applyBorder="1" applyAlignment="1">
      <alignment vertical="center"/>
    </xf>
    <xf numFmtId="164" fontId="1" fillId="0" borderId="0" xfId="0" applyNumberFormat="1" applyFont="1" applyBorder="1"/>
  </cellXfs>
  <cellStyles count="1">
    <cellStyle name="Обычный" xfId="0" builtinId="0"/>
  </cellStyles>
  <dxfs count="108"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  <dxf>
      <fill>
        <patternFill>
          <bgColor rgb="FFFF9B9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AF8A-EA79-4D76-9E92-124BE7A1253A}">
  <dimension ref="A1:G163"/>
  <sheetViews>
    <sheetView tabSelected="1" zoomScale="145" zoomScaleNormal="145" workbookViewId="0">
      <pane ySplit="1" topLeftCell="A29" activePane="bottomLeft" state="frozen"/>
      <selection pane="bottomLeft" activeCell="D46" sqref="D46"/>
    </sheetView>
  </sheetViews>
  <sheetFormatPr defaultRowHeight="15" x14ac:dyDescent="0.25"/>
  <cols>
    <col min="1" max="1" width="7.85546875" style="4" bestFit="1" customWidth="1"/>
    <col min="2" max="2" width="39.5703125" style="4" bestFit="1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83" t="s">
        <v>0</v>
      </c>
      <c r="B1" s="83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46068</v>
      </c>
      <c r="B2" s="88"/>
      <c r="C2" s="88"/>
      <c r="D2" s="88"/>
      <c r="E2" s="88"/>
    </row>
    <row r="3" spans="1:6" x14ac:dyDescent="0.25">
      <c r="A3" s="27">
        <v>1</v>
      </c>
      <c r="B3" s="18" t="s">
        <v>112</v>
      </c>
      <c r="C3" s="6">
        <v>2962998</v>
      </c>
      <c r="D3" s="25">
        <v>3435000</v>
      </c>
      <c r="E3" s="31">
        <f t="shared" ref="E3:E46" si="0">D3-C3</f>
        <v>472002</v>
      </c>
    </row>
    <row r="4" spans="1:6" x14ac:dyDescent="0.25">
      <c r="A4" s="4">
        <v>2</v>
      </c>
      <c r="B4" s="80" t="s">
        <v>10</v>
      </c>
      <c r="C4" s="45">
        <v>16500000</v>
      </c>
      <c r="D4" s="82">
        <v>17100000</v>
      </c>
      <c r="E4" s="31">
        <f t="shared" si="0"/>
        <v>600000</v>
      </c>
    </row>
    <row r="5" spans="1:6" x14ac:dyDescent="0.25">
      <c r="A5" s="27">
        <v>3</v>
      </c>
      <c r="B5" s="65" t="s">
        <v>40</v>
      </c>
      <c r="C5" s="25">
        <v>1805999</v>
      </c>
      <c r="D5" s="25">
        <v>2436242</v>
      </c>
      <c r="E5" s="31">
        <f t="shared" si="0"/>
        <v>630243</v>
      </c>
      <c r="F5" s="83"/>
    </row>
    <row r="6" spans="1:6" x14ac:dyDescent="0.25">
      <c r="A6" s="4">
        <v>4</v>
      </c>
      <c r="B6" s="85" t="s">
        <v>101</v>
      </c>
      <c r="C6" s="25">
        <v>917999</v>
      </c>
      <c r="D6" s="25">
        <v>1077003</v>
      </c>
      <c r="E6" s="31">
        <f t="shared" si="0"/>
        <v>159004</v>
      </c>
    </row>
    <row r="7" spans="1:6" x14ac:dyDescent="0.25">
      <c r="A7" s="27">
        <v>5</v>
      </c>
      <c r="B7" s="85" t="s">
        <v>16</v>
      </c>
      <c r="C7" s="25">
        <v>700000</v>
      </c>
      <c r="D7" s="25">
        <v>807499</v>
      </c>
      <c r="E7" s="31">
        <f t="shared" si="0"/>
        <v>107499</v>
      </c>
    </row>
    <row r="8" spans="1:6" x14ac:dyDescent="0.25">
      <c r="A8" s="18">
        <v>6</v>
      </c>
      <c r="B8" s="85" t="s">
        <v>16</v>
      </c>
      <c r="C8" s="25">
        <v>700000</v>
      </c>
      <c r="D8" s="25">
        <v>826500</v>
      </c>
      <c r="E8" s="31">
        <f t="shared" si="0"/>
        <v>126500</v>
      </c>
    </row>
    <row r="9" spans="1:6" x14ac:dyDescent="0.25">
      <c r="A9" s="75">
        <v>7</v>
      </c>
      <c r="B9" s="65" t="s">
        <v>34</v>
      </c>
      <c r="C9" s="25">
        <v>2999999</v>
      </c>
      <c r="D9" s="25">
        <v>3230000</v>
      </c>
      <c r="E9" s="31">
        <f t="shared" si="0"/>
        <v>230001</v>
      </c>
    </row>
    <row r="10" spans="1:6" x14ac:dyDescent="0.25">
      <c r="A10" s="27">
        <v>8</v>
      </c>
      <c r="B10" s="92" t="s">
        <v>73</v>
      </c>
      <c r="C10" s="25">
        <v>4000121</v>
      </c>
      <c r="D10" s="25">
        <v>4330995</v>
      </c>
      <c r="E10" s="31">
        <f t="shared" si="0"/>
        <v>330874</v>
      </c>
    </row>
    <row r="11" spans="1:6" x14ac:dyDescent="0.25">
      <c r="A11" s="27">
        <v>9</v>
      </c>
      <c r="B11" s="18" t="s">
        <v>33</v>
      </c>
      <c r="C11" s="25">
        <v>1360000</v>
      </c>
      <c r="D11" s="25">
        <v>1424999</v>
      </c>
      <c r="E11" s="31">
        <f t="shared" si="0"/>
        <v>64999</v>
      </c>
    </row>
    <row r="12" spans="1:6" x14ac:dyDescent="0.25">
      <c r="A12" s="94">
        <v>10</v>
      </c>
      <c r="B12" s="93" t="s">
        <v>113</v>
      </c>
      <c r="C12" s="25">
        <v>1320999</v>
      </c>
      <c r="D12" s="25">
        <v>1544720</v>
      </c>
      <c r="E12" s="31">
        <f t="shared" si="0"/>
        <v>223721</v>
      </c>
      <c r="F12" s="57"/>
    </row>
    <row r="13" spans="1:6" x14ac:dyDescent="0.25">
      <c r="A13" s="27">
        <v>11</v>
      </c>
      <c r="B13" s="93" t="s">
        <v>53</v>
      </c>
      <c r="C13" s="25">
        <v>500000</v>
      </c>
      <c r="D13" s="25">
        <v>712500</v>
      </c>
      <c r="E13" s="31">
        <f t="shared" si="0"/>
        <v>212500</v>
      </c>
    </row>
    <row r="14" spans="1:6" x14ac:dyDescent="0.25">
      <c r="A14" s="94">
        <v>12</v>
      </c>
      <c r="B14" s="93" t="s">
        <v>63</v>
      </c>
      <c r="C14" s="25">
        <v>1114999</v>
      </c>
      <c r="D14" s="25">
        <v>1463000</v>
      </c>
      <c r="E14" s="31">
        <f t="shared" si="0"/>
        <v>348001</v>
      </c>
    </row>
    <row r="15" spans="1:6" x14ac:dyDescent="0.25">
      <c r="A15" s="27">
        <v>13</v>
      </c>
      <c r="B15" s="93" t="s">
        <v>16</v>
      </c>
      <c r="C15" s="25">
        <v>700000</v>
      </c>
      <c r="D15" s="25"/>
      <c r="E15" s="31">
        <f t="shared" si="0"/>
        <v>-700000</v>
      </c>
    </row>
    <row r="16" spans="1:6" x14ac:dyDescent="0.25">
      <c r="A16" s="94">
        <v>14</v>
      </c>
      <c r="B16" s="93" t="s">
        <v>16</v>
      </c>
      <c r="C16" s="25">
        <v>725000</v>
      </c>
      <c r="D16" s="25"/>
      <c r="E16" s="31">
        <f t="shared" si="0"/>
        <v>-725000</v>
      </c>
    </row>
    <row r="17" spans="1:7" x14ac:dyDescent="0.25">
      <c r="A17" s="75">
        <v>15</v>
      </c>
      <c r="B17" s="93" t="s">
        <v>16</v>
      </c>
      <c r="C17" s="25">
        <v>725000</v>
      </c>
      <c r="D17" s="25"/>
      <c r="E17" s="31">
        <f t="shared" si="0"/>
        <v>-725000</v>
      </c>
    </row>
    <row r="18" spans="1:7" x14ac:dyDescent="0.25">
      <c r="A18" s="27">
        <v>16</v>
      </c>
      <c r="B18" s="93" t="s">
        <v>16</v>
      </c>
      <c r="C18" s="25">
        <v>700000</v>
      </c>
      <c r="D18" s="25"/>
      <c r="E18" s="31">
        <f t="shared" si="0"/>
        <v>-700000</v>
      </c>
    </row>
    <row r="19" spans="1:7" x14ac:dyDescent="0.25">
      <c r="A19" s="94">
        <v>17</v>
      </c>
      <c r="B19" s="93" t="s">
        <v>16</v>
      </c>
      <c r="C19" s="25">
        <v>700000</v>
      </c>
      <c r="D19" s="25"/>
      <c r="E19" s="31">
        <f t="shared" si="0"/>
        <v>-700000</v>
      </c>
    </row>
    <row r="20" spans="1:7" x14ac:dyDescent="0.25">
      <c r="A20" s="75">
        <v>18</v>
      </c>
      <c r="B20" s="92" t="s">
        <v>99</v>
      </c>
      <c r="C20" s="25">
        <v>2000000</v>
      </c>
      <c r="D20" s="25">
        <v>2185000</v>
      </c>
      <c r="E20" s="31">
        <f t="shared" si="0"/>
        <v>185000</v>
      </c>
    </row>
    <row r="21" spans="1:7" x14ac:dyDescent="0.25">
      <c r="A21" s="94">
        <v>19</v>
      </c>
      <c r="B21" s="93" t="s">
        <v>18</v>
      </c>
      <c r="C21" s="25">
        <v>1630000</v>
      </c>
      <c r="D21" s="66">
        <v>1662500</v>
      </c>
      <c r="E21" s="31">
        <f t="shared" si="0"/>
        <v>32500</v>
      </c>
    </row>
    <row r="22" spans="1:7" x14ac:dyDescent="0.25">
      <c r="A22" s="94">
        <v>20</v>
      </c>
      <c r="B22" s="92" t="s">
        <v>99</v>
      </c>
      <c r="C22" s="25">
        <v>2000001</v>
      </c>
      <c r="D22" s="25">
        <v>2280000</v>
      </c>
      <c r="E22" s="31">
        <f t="shared" si="0"/>
        <v>279999</v>
      </c>
    </row>
    <row r="23" spans="1:7" x14ac:dyDescent="0.25">
      <c r="A23" s="75">
        <v>21</v>
      </c>
      <c r="B23" s="93" t="s">
        <v>61</v>
      </c>
      <c r="C23" s="25">
        <v>2220999</v>
      </c>
      <c r="D23" s="25">
        <v>2807500</v>
      </c>
      <c r="E23" s="31">
        <f t="shared" si="0"/>
        <v>586501</v>
      </c>
    </row>
    <row r="24" spans="1:7" x14ac:dyDescent="0.25">
      <c r="A24" s="27">
        <v>22</v>
      </c>
      <c r="B24" s="94" t="s">
        <v>73</v>
      </c>
      <c r="C24" s="25">
        <v>190000</v>
      </c>
      <c r="D24" s="66">
        <v>657404</v>
      </c>
      <c r="E24" s="31">
        <f t="shared" si="0"/>
        <v>467404</v>
      </c>
      <c r="F24" s="12"/>
      <c r="G24" s="12"/>
    </row>
    <row r="25" spans="1:7" x14ac:dyDescent="0.25">
      <c r="A25" s="94">
        <v>23</v>
      </c>
      <c r="B25" s="93" t="s">
        <v>30</v>
      </c>
      <c r="C25" s="65">
        <v>550000</v>
      </c>
      <c r="D25" s="66">
        <v>696350</v>
      </c>
      <c r="E25" s="31">
        <f t="shared" si="0"/>
        <v>146350</v>
      </c>
    </row>
    <row r="26" spans="1:7" x14ac:dyDescent="0.25">
      <c r="A26" s="75">
        <v>24</v>
      </c>
      <c r="B26" s="95" t="s">
        <v>99</v>
      </c>
      <c r="C26" s="65">
        <v>2000000</v>
      </c>
      <c r="D26" s="66">
        <v>2232500</v>
      </c>
      <c r="E26" s="31">
        <f t="shared" si="0"/>
        <v>232500</v>
      </c>
    </row>
    <row r="27" spans="1:7" x14ac:dyDescent="0.25">
      <c r="A27" s="69">
        <v>25</v>
      </c>
      <c r="B27" s="95" t="s">
        <v>72</v>
      </c>
      <c r="C27" s="25">
        <v>6000000</v>
      </c>
      <c r="D27" s="66"/>
      <c r="E27" s="31">
        <f t="shared" si="0"/>
        <v>-6000000</v>
      </c>
    </row>
    <row r="28" spans="1:7" x14ac:dyDescent="0.25">
      <c r="A28" s="64">
        <v>26</v>
      </c>
      <c r="B28" s="95" t="s">
        <v>104</v>
      </c>
      <c r="C28" s="25">
        <v>3100000</v>
      </c>
      <c r="D28" s="66">
        <v>2945000</v>
      </c>
      <c r="E28" s="31">
        <f t="shared" si="0"/>
        <v>-155000</v>
      </c>
    </row>
    <row r="29" spans="1:7" x14ac:dyDescent="0.25">
      <c r="A29" s="75">
        <v>27</v>
      </c>
      <c r="B29" s="92" t="s">
        <v>99</v>
      </c>
      <c r="C29" s="25">
        <v>2005000</v>
      </c>
      <c r="D29" s="45">
        <v>2222050</v>
      </c>
      <c r="E29" s="31">
        <f t="shared" si="0"/>
        <v>217050</v>
      </c>
    </row>
    <row r="30" spans="1:7" x14ac:dyDescent="0.25">
      <c r="A30" s="69">
        <v>28</v>
      </c>
      <c r="B30" s="95" t="s">
        <v>104</v>
      </c>
      <c r="C30" s="25">
        <v>3000000</v>
      </c>
      <c r="D30" s="45"/>
      <c r="E30" s="31">
        <f t="shared" si="0"/>
        <v>-3000000</v>
      </c>
    </row>
    <row r="31" spans="1:7" x14ac:dyDescent="0.25">
      <c r="A31" s="69">
        <v>29</v>
      </c>
      <c r="B31" s="93" t="s">
        <v>30</v>
      </c>
      <c r="C31" s="65">
        <v>550000</v>
      </c>
      <c r="D31" s="42">
        <v>658255</v>
      </c>
      <c r="E31" s="31">
        <f t="shared" si="0"/>
        <v>108255</v>
      </c>
    </row>
    <row r="32" spans="1:7" x14ac:dyDescent="0.25">
      <c r="A32" s="64">
        <v>30</v>
      </c>
      <c r="B32" s="95" t="s">
        <v>99</v>
      </c>
      <c r="C32" s="65">
        <v>2000000</v>
      </c>
      <c r="D32" s="42">
        <v>2222050</v>
      </c>
      <c r="E32" s="31">
        <f t="shared" si="0"/>
        <v>222050</v>
      </c>
    </row>
    <row r="33" spans="1:5" x14ac:dyDescent="0.25">
      <c r="A33" s="75">
        <v>31</v>
      </c>
      <c r="B33" s="92" t="s">
        <v>5</v>
      </c>
      <c r="C33" s="25">
        <v>3650000</v>
      </c>
      <c r="D33" s="42">
        <v>3781000</v>
      </c>
      <c r="E33" s="31">
        <f t="shared" si="0"/>
        <v>131000</v>
      </c>
    </row>
    <row r="34" spans="1:5" x14ac:dyDescent="0.25">
      <c r="A34" s="69">
        <v>32</v>
      </c>
      <c r="B34" s="92" t="s">
        <v>15</v>
      </c>
      <c r="C34" s="25">
        <v>2511111</v>
      </c>
      <c r="D34" s="25">
        <v>2658943</v>
      </c>
      <c r="E34" s="31">
        <f t="shared" si="0"/>
        <v>147832</v>
      </c>
    </row>
    <row r="35" spans="1:5" x14ac:dyDescent="0.25">
      <c r="A35" s="69">
        <v>33</v>
      </c>
      <c r="B35" s="93" t="s">
        <v>15</v>
      </c>
      <c r="C35" s="25">
        <v>2511111</v>
      </c>
      <c r="D35" s="25">
        <v>2658943</v>
      </c>
      <c r="E35" s="31">
        <f t="shared" si="0"/>
        <v>147832</v>
      </c>
    </row>
    <row r="36" spans="1:5" x14ac:dyDescent="0.25">
      <c r="A36" s="64">
        <v>34</v>
      </c>
      <c r="B36" s="93" t="s">
        <v>40</v>
      </c>
      <c r="C36" s="25">
        <v>2519997</v>
      </c>
      <c r="D36" s="25"/>
      <c r="E36" s="31">
        <f t="shared" si="0"/>
        <v>-2519997</v>
      </c>
    </row>
    <row r="37" spans="1:5" x14ac:dyDescent="0.25">
      <c r="A37" s="52">
        <v>35</v>
      </c>
      <c r="B37" s="93" t="s">
        <v>95</v>
      </c>
      <c r="C37" s="25">
        <v>233333</v>
      </c>
      <c r="D37" s="6"/>
      <c r="E37" s="31">
        <f t="shared" si="0"/>
        <v>-233333</v>
      </c>
    </row>
    <row r="38" spans="1:5" x14ac:dyDescent="0.25">
      <c r="A38" s="64">
        <v>36</v>
      </c>
      <c r="B38" s="95" t="s">
        <v>34</v>
      </c>
      <c r="C38" s="85">
        <v>3000000</v>
      </c>
      <c r="D38" s="85">
        <v>3182500</v>
      </c>
      <c r="E38" s="86">
        <f t="shared" si="0"/>
        <v>182500</v>
      </c>
    </row>
    <row r="39" spans="1:5" x14ac:dyDescent="0.25">
      <c r="A39" s="52">
        <v>37</v>
      </c>
      <c r="B39" s="95" t="s">
        <v>29</v>
      </c>
      <c r="C39" s="85">
        <v>800000</v>
      </c>
      <c r="D39" s="85">
        <v>893000</v>
      </c>
      <c r="E39" s="86">
        <f t="shared" si="0"/>
        <v>93000</v>
      </c>
    </row>
    <row r="40" spans="1:5" x14ac:dyDescent="0.25">
      <c r="A40" s="52">
        <v>38</v>
      </c>
      <c r="B40" s="92" t="s">
        <v>18</v>
      </c>
      <c r="C40" s="25">
        <v>1600000</v>
      </c>
      <c r="D40" s="55">
        <v>1757500</v>
      </c>
      <c r="E40" s="25">
        <f t="shared" si="0"/>
        <v>157500</v>
      </c>
    </row>
    <row r="41" spans="1:5" x14ac:dyDescent="0.25">
      <c r="A41" s="27">
        <v>39</v>
      </c>
      <c r="B41" s="92" t="s">
        <v>18</v>
      </c>
      <c r="C41" s="25">
        <v>1600000</v>
      </c>
      <c r="D41" s="72">
        <v>1804999</v>
      </c>
      <c r="E41" s="25">
        <f t="shared" si="0"/>
        <v>204999</v>
      </c>
    </row>
    <row r="42" spans="1:5" x14ac:dyDescent="0.25">
      <c r="A42" s="27">
        <v>40</v>
      </c>
      <c r="B42" s="93" t="s">
        <v>16</v>
      </c>
      <c r="C42" s="72">
        <v>699999</v>
      </c>
      <c r="D42" s="72"/>
      <c r="E42" s="25">
        <f t="shared" si="0"/>
        <v>-699999</v>
      </c>
    </row>
    <row r="43" spans="1:5" x14ac:dyDescent="0.25">
      <c r="A43" s="52">
        <v>41</v>
      </c>
      <c r="B43" s="92" t="s">
        <v>5</v>
      </c>
      <c r="C43" s="25">
        <v>3600000</v>
      </c>
      <c r="D43" s="96">
        <v>3799050</v>
      </c>
      <c r="E43" s="25">
        <f t="shared" si="0"/>
        <v>199050</v>
      </c>
    </row>
    <row r="44" spans="1:5" x14ac:dyDescent="0.25">
      <c r="A44" s="27">
        <v>42</v>
      </c>
      <c r="B44" s="95" t="s">
        <v>23</v>
      </c>
      <c r="C44" s="25">
        <v>700000</v>
      </c>
      <c r="D44" s="96"/>
      <c r="E44" s="25">
        <f t="shared" si="0"/>
        <v>-700000</v>
      </c>
    </row>
    <row r="45" spans="1:5" x14ac:dyDescent="0.25">
      <c r="A45" s="27">
        <v>43</v>
      </c>
      <c r="B45" s="95" t="s">
        <v>5</v>
      </c>
      <c r="C45" s="25">
        <v>3666666</v>
      </c>
      <c r="D45" s="21"/>
      <c r="E45" s="25">
        <f t="shared" si="0"/>
        <v>-3666666</v>
      </c>
    </row>
    <row r="46" spans="1:5" x14ac:dyDescent="0.25">
      <c r="A46" s="52">
        <v>44</v>
      </c>
      <c r="B46" s="92" t="s">
        <v>13</v>
      </c>
      <c r="C46" s="65">
        <v>2300000</v>
      </c>
      <c r="D46" s="65"/>
      <c r="E46" s="25">
        <f t="shared" si="0"/>
        <v>-2300000</v>
      </c>
    </row>
    <row r="47" spans="1:5" x14ac:dyDescent="0.25">
      <c r="A47" s="27"/>
      <c r="B47" s="95" t="s">
        <v>99</v>
      </c>
      <c r="C47" s="65">
        <v>2000000</v>
      </c>
      <c r="D47" s="65"/>
      <c r="E47" s="25"/>
    </row>
    <row r="48" spans="1:5" x14ac:dyDescent="0.25">
      <c r="A48" s="27"/>
      <c r="B48" s="65"/>
      <c r="C48" s="25"/>
      <c r="D48" s="65"/>
      <c r="E48" s="25"/>
    </row>
    <row r="49" spans="1:5" x14ac:dyDescent="0.25">
      <c r="A49" s="52"/>
      <c r="C49" s="25"/>
      <c r="D49" s="6"/>
      <c r="E49" s="25"/>
    </row>
    <row r="50" spans="1:5" x14ac:dyDescent="0.25">
      <c r="A50" s="27"/>
      <c r="B50" s="18"/>
      <c r="C50" s="6"/>
      <c r="D50" s="6"/>
      <c r="E50" s="25"/>
    </row>
    <row r="51" spans="1:5" x14ac:dyDescent="0.25">
      <c r="A51" s="27"/>
      <c r="B51" s="18"/>
      <c r="C51" s="6"/>
      <c r="D51" s="6"/>
      <c r="E51" s="25"/>
    </row>
    <row r="52" spans="1:5" x14ac:dyDescent="0.25">
      <c r="A52" s="52"/>
      <c r="C52" s="6"/>
      <c r="D52" s="6"/>
      <c r="E52" s="25"/>
    </row>
    <row r="53" spans="1:5" x14ac:dyDescent="0.25">
      <c r="A53" s="27"/>
      <c r="B53" s="26"/>
      <c r="C53" s="26"/>
      <c r="D53" s="26"/>
      <c r="E53" s="25"/>
    </row>
    <row r="54" spans="1:5" x14ac:dyDescent="0.25">
      <c r="A54" s="27"/>
      <c r="B54" s="26"/>
      <c r="C54" s="26"/>
      <c r="D54" s="26"/>
      <c r="E54" s="25"/>
    </row>
    <row r="55" spans="1:5" x14ac:dyDescent="0.25">
      <c r="A55" s="52"/>
      <c r="B55" s="26"/>
      <c r="C55" s="6"/>
      <c r="D55" s="6"/>
      <c r="E55" s="6"/>
    </row>
    <row r="56" spans="1:5" x14ac:dyDescent="0.25">
      <c r="A56" s="27"/>
      <c r="C56" s="6"/>
      <c r="D56" s="6"/>
      <c r="E56" s="6"/>
    </row>
    <row r="57" spans="1:5" x14ac:dyDescent="0.25">
      <c r="A57" s="27"/>
      <c r="C57" s="6"/>
      <c r="D57" s="6"/>
      <c r="E57" s="6"/>
    </row>
    <row r="58" spans="1:5" x14ac:dyDescent="0.25">
      <c r="A58" s="75"/>
      <c r="C58" s="6"/>
      <c r="D58" s="6"/>
      <c r="E58" s="6"/>
    </row>
    <row r="59" spans="1:5" x14ac:dyDescent="0.25">
      <c r="A59" s="75"/>
      <c r="C59" s="6"/>
      <c r="D59" s="6"/>
      <c r="E59" s="6"/>
    </row>
    <row r="60" spans="1:5" x14ac:dyDescent="0.25">
      <c r="A60" s="27"/>
      <c r="C60" s="6"/>
      <c r="D60" s="6"/>
      <c r="E60" s="6"/>
    </row>
    <row r="61" spans="1:5" x14ac:dyDescent="0.25">
      <c r="A61" s="75"/>
      <c r="B61" s="18"/>
      <c r="C61" s="6"/>
      <c r="D61" s="6"/>
      <c r="E61" s="6"/>
    </row>
    <row r="62" spans="1:5" x14ac:dyDescent="0.25">
      <c r="A62" s="75"/>
      <c r="C62" s="6"/>
      <c r="D62" s="6"/>
      <c r="E62" s="6"/>
    </row>
    <row r="63" spans="1:5" x14ac:dyDescent="0.25">
      <c r="A63" s="27"/>
      <c r="C63" s="6"/>
      <c r="D63" s="6"/>
      <c r="E63" s="6"/>
    </row>
    <row r="64" spans="1:5" x14ac:dyDescent="0.25">
      <c r="A64" s="75"/>
      <c r="C64" s="6"/>
      <c r="D64" s="6"/>
      <c r="E64" s="6"/>
    </row>
    <row r="65" spans="1:5" x14ac:dyDescent="0.25">
      <c r="A65" s="75"/>
      <c r="C65" s="6"/>
      <c r="D65" s="6"/>
      <c r="E65" s="6"/>
    </row>
    <row r="66" spans="1:5" x14ac:dyDescent="0.25">
      <c r="A66" s="27"/>
      <c r="C66" s="6"/>
      <c r="D66" s="6"/>
      <c r="E66" s="6"/>
    </row>
    <row r="67" spans="1:5" x14ac:dyDescent="0.25">
      <c r="A67" s="75"/>
      <c r="C67" s="6"/>
      <c r="D67" s="6"/>
      <c r="E67" s="6"/>
    </row>
    <row r="68" spans="1:5" x14ac:dyDescent="0.25">
      <c r="A68" s="75"/>
      <c r="C68" s="6"/>
      <c r="D68" s="6"/>
      <c r="E68" s="6"/>
    </row>
    <row r="69" spans="1:5" x14ac:dyDescent="0.25">
      <c r="A69" s="75"/>
      <c r="B69" s="18"/>
      <c r="C69" s="6"/>
      <c r="D69" s="6"/>
      <c r="E69" s="6"/>
    </row>
    <row r="70" spans="1:5" x14ac:dyDescent="0.25">
      <c r="A70" s="27"/>
      <c r="C70" s="6"/>
      <c r="D70" s="6"/>
      <c r="E70" s="6"/>
    </row>
    <row r="71" spans="1:5" x14ac:dyDescent="0.25">
      <c r="A71" s="75"/>
      <c r="C71" s="6"/>
      <c r="D71" s="6"/>
      <c r="E71" s="6"/>
    </row>
    <row r="72" spans="1:5" x14ac:dyDescent="0.25">
      <c r="A72" s="75"/>
      <c r="B72" s="10"/>
      <c r="C72" s="6"/>
      <c r="D72" s="6"/>
      <c r="E72" s="6"/>
    </row>
    <row r="73" spans="1:5" x14ac:dyDescent="0.25">
      <c r="A73" s="75"/>
      <c r="B73" s="26"/>
      <c r="C73" s="26"/>
      <c r="D73" s="26"/>
      <c r="E73" s="6"/>
    </row>
    <row r="74" spans="1:5" x14ac:dyDescent="0.25">
      <c r="A74" s="27"/>
      <c r="B74" s="26"/>
      <c r="C74" s="26"/>
      <c r="D74" s="26"/>
      <c r="E74" s="6"/>
    </row>
    <row r="75" spans="1:5" x14ac:dyDescent="0.25">
      <c r="A75" s="75"/>
      <c r="C75" s="6"/>
      <c r="D75" s="6"/>
      <c r="E75" s="6"/>
    </row>
    <row r="76" spans="1:5" x14ac:dyDescent="0.25">
      <c r="A76" s="75"/>
      <c r="C76" s="6"/>
      <c r="D76" s="6"/>
      <c r="E76" s="6"/>
    </row>
    <row r="77" spans="1:5" x14ac:dyDescent="0.25">
      <c r="A77" s="75"/>
      <c r="C77" s="6"/>
      <c r="D77" s="6"/>
      <c r="E77" s="6"/>
    </row>
    <row r="78" spans="1:5" x14ac:dyDescent="0.25">
      <c r="A78" s="27"/>
      <c r="B78" s="10"/>
      <c r="C78" s="6"/>
      <c r="D78" s="6"/>
      <c r="E78" s="6"/>
    </row>
    <row r="79" spans="1:5" x14ac:dyDescent="0.25">
      <c r="A79" s="75"/>
      <c r="B79" s="18"/>
      <c r="C79" s="6"/>
      <c r="D79" s="6"/>
      <c r="E79" s="6"/>
    </row>
    <row r="80" spans="1:5" x14ac:dyDescent="0.25">
      <c r="A80" s="75"/>
      <c r="C80" s="6"/>
      <c r="D80" s="6"/>
      <c r="E80" s="6"/>
    </row>
    <row r="81" spans="1:5" x14ac:dyDescent="0.25">
      <c r="A81" s="75"/>
      <c r="C81" s="6"/>
      <c r="D81" s="6"/>
      <c r="E81" s="6"/>
    </row>
    <row r="82" spans="1:5" x14ac:dyDescent="0.25">
      <c r="A82" s="27"/>
      <c r="C82" s="6"/>
      <c r="D82" s="6"/>
      <c r="E82" s="6"/>
    </row>
    <row r="83" spans="1:5" x14ac:dyDescent="0.25">
      <c r="A83" s="75"/>
      <c r="C83" s="6"/>
      <c r="D83" s="6"/>
      <c r="E83" s="6"/>
    </row>
    <row r="84" spans="1:5" x14ac:dyDescent="0.25">
      <c r="A84" s="75"/>
      <c r="C84" s="6"/>
      <c r="D84" s="6"/>
      <c r="E84" s="6"/>
    </row>
    <row r="85" spans="1:5" x14ac:dyDescent="0.25">
      <c r="A85" s="75"/>
      <c r="C85" s="6"/>
      <c r="D85" s="6"/>
      <c r="E85" s="6"/>
    </row>
    <row r="86" spans="1:5" x14ac:dyDescent="0.25">
      <c r="A86" s="75"/>
      <c r="C86" s="6"/>
      <c r="D86" s="6"/>
      <c r="E86" s="6"/>
    </row>
    <row r="87" spans="1:5" x14ac:dyDescent="0.25">
      <c r="A87" s="75"/>
      <c r="C87" s="6"/>
      <c r="D87" s="6"/>
      <c r="E87" s="6"/>
    </row>
    <row r="88" spans="1:5" x14ac:dyDescent="0.25">
      <c r="A88" s="75"/>
      <c r="C88" s="6"/>
      <c r="D88" s="6"/>
      <c r="E88" s="6"/>
    </row>
    <row r="89" spans="1:5" x14ac:dyDescent="0.25">
      <c r="A89" s="75"/>
      <c r="C89" s="6"/>
      <c r="D89" s="6"/>
      <c r="E89" s="6"/>
    </row>
    <row r="90" spans="1:5" x14ac:dyDescent="0.25">
      <c r="A90" s="75"/>
      <c r="C90" s="6"/>
      <c r="D90" s="6"/>
      <c r="E90" s="6"/>
    </row>
    <row r="91" spans="1:5" x14ac:dyDescent="0.25">
      <c r="A91" s="75"/>
      <c r="C91" s="6"/>
      <c r="D91" s="6"/>
      <c r="E91" s="6"/>
    </row>
    <row r="92" spans="1:5" x14ac:dyDescent="0.25">
      <c r="A92" s="75"/>
      <c r="C92" s="6"/>
      <c r="D92" s="6"/>
      <c r="E92" s="6"/>
    </row>
    <row r="93" spans="1:5" x14ac:dyDescent="0.25">
      <c r="A93" s="75"/>
      <c r="B93" s="18"/>
      <c r="C93" s="6"/>
      <c r="D93" s="6"/>
      <c r="E93" s="6"/>
    </row>
    <row r="94" spans="1:5" x14ac:dyDescent="0.25">
      <c r="A94" s="75"/>
      <c r="C94" s="6"/>
      <c r="D94" s="6"/>
      <c r="E94" s="6"/>
    </row>
    <row r="95" spans="1:5" x14ac:dyDescent="0.25">
      <c r="B95" s="18"/>
      <c r="C95" s="6"/>
      <c r="D95" s="6"/>
      <c r="E95" s="6"/>
    </row>
    <row r="96" spans="1:5" x14ac:dyDescent="0.25">
      <c r="B96" s="18"/>
      <c r="C96" s="6"/>
      <c r="D96" s="6"/>
      <c r="E96" s="6"/>
    </row>
    <row r="97" spans="1:5" x14ac:dyDescent="0.25">
      <c r="B97" s="18"/>
      <c r="C97" s="6"/>
      <c r="D97" s="6"/>
      <c r="E97" s="6"/>
    </row>
    <row r="98" spans="1:5" x14ac:dyDescent="0.25">
      <c r="B98" s="18"/>
      <c r="C98" s="6"/>
      <c r="D98" s="6"/>
      <c r="E98" s="6"/>
    </row>
    <row r="99" spans="1:5" x14ac:dyDescent="0.25">
      <c r="A99" s="76"/>
      <c r="B99" s="76"/>
      <c r="C99" s="76"/>
      <c r="D99" s="76"/>
      <c r="E99" s="77"/>
    </row>
    <row r="100" spans="1:5" x14ac:dyDescent="0.25">
      <c r="A100" s="76"/>
      <c r="B100" s="76"/>
      <c r="C100" s="76"/>
      <c r="D100" s="76"/>
      <c r="E100" s="77"/>
    </row>
    <row r="101" spans="1:5" x14ac:dyDescent="0.25">
      <c r="C101" s="6"/>
      <c r="D101" s="6"/>
      <c r="E101" s="6"/>
    </row>
    <row r="102" spans="1:5" x14ac:dyDescent="0.25">
      <c r="C102" s="6"/>
      <c r="D102" s="6"/>
      <c r="E102" s="6"/>
    </row>
    <row r="103" spans="1:5" x14ac:dyDescent="0.25">
      <c r="C103" s="6"/>
      <c r="D103" s="6"/>
      <c r="E103" s="6"/>
    </row>
    <row r="104" spans="1:5" x14ac:dyDescent="0.25">
      <c r="C104" s="6"/>
      <c r="D104" s="6"/>
      <c r="E104" s="6"/>
    </row>
    <row r="105" spans="1:5" x14ac:dyDescent="0.25">
      <c r="C105" s="6"/>
      <c r="D105" s="6"/>
      <c r="E105" s="6"/>
    </row>
    <row r="106" spans="1:5" x14ac:dyDescent="0.25">
      <c r="C106" s="6"/>
      <c r="D106" s="6"/>
      <c r="E106" s="6"/>
    </row>
    <row r="107" spans="1:5" x14ac:dyDescent="0.25">
      <c r="C107" s="6"/>
      <c r="D107" s="6"/>
      <c r="E107" s="6"/>
    </row>
    <row r="108" spans="1:5" x14ac:dyDescent="0.25">
      <c r="C108" s="6"/>
      <c r="D108" s="6"/>
      <c r="E108" s="6"/>
    </row>
    <row r="109" spans="1:5" x14ac:dyDescent="0.25">
      <c r="C109" s="6"/>
      <c r="D109" s="6"/>
      <c r="E109" s="6"/>
    </row>
    <row r="110" spans="1:5" x14ac:dyDescent="0.25">
      <c r="C110" s="6"/>
      <c r="D110" s="6"/>
      <c r="E110" s="6"/>
    </row>
    <row r="111" spans="1:5" x14ac:dyDescent="0.25">
      <c r="C111" s="6"/>
      <c r="D111" s="6"/>
      <c r="E111" s="6"/>
    </row>
    <row r="112" spans="1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3">
    <mergeCell ref="A2:E2"/>
    <mergeCell ref="B162:D162"/>
    <mergeCell ref="B163:D163"/>
  </mergeCells>
  <conditionalFormatting sqref="E1">
    <cfRule type="cellIs" dxfId="107" priority="4" operator="lessThan">
      <formula>0</formula>
    </cfRule>
  </conditionalFormatting>
  <conditionalFormatting sqref="E3:E37 E40:E117">
    <cfRule type="cellIs" dxfId="106" priority="2" operator="lessThan">
      <formula>0</formula>
    </cfRule>
  </conditionalFormatting>
  <conditionalFormatting sqref="E119:E163">
    <cfRule type="cellIs" dxfId="105" priority="3" operator="lessThan">
      <formula>0</formula>
    </cfRule>
  </conditionalFormatting>
  <conditionalFormatting sqref="E38:E39">
    <cfRule type="cellIs" dxfId="10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539C4-CB4E-470E-942A-2D511A2A8F45}">
  <dimension ref="A1:G163"/>
  <sheetViews>
    <sheetView zoomScale="145" zoomScaleNormal="145" workbookViewId="0">
      <pane ySplit="1" topLeftCell="A20" activePane="bottomLeft" state="frozen"/>
      <selection pane="bottomLeft" activeCell="D30" sqref="D30"/>
    </sheetView>
  </sheetViews>
  <sheetFormatPr defaultRowHeight="15" x14ac:dyDescent="0.25"/>
  <cols>
    <col min="1" max="1" width="7.85546875" style="4" bestFit="1" customWidth="1"/>
    <col min="2" max="2" width="39.5703125" style="4" bestFit="1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78" t="s">
        <v>0</v>
      </c>
      <c r="B1" s="78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46068</v>
      </c>
      <c r="B2" s="88"/>
      <c r="C2" s="88"/>
      <c r="D2" s="88"/>
      <c r="E2" s="88"/>
    </row>
    <row r="3" spans="1:6" x14ac:dyDescent="0.25">
      <c r="A3" s="27">
        <v>1</v>
      </c>
      <c r="B3" s="18" t="s">
        <v>104</v>
      </c>
      <c r="C3" s="6">
        <v>3333333</v>
      </c>
      <c r="D3" s="25">
        <v>3610000</v>
      </c>
      <c r="E3" s="31">
        <f t="shared" ref="E3:E37" si="0">D3-C3</f>
        <v>276667</v>
      </c>
    </row>
    <row r="4" spans="1:6" x14ac:dyDescent="0.25">
      <c r="A4" s="4">
        <v>2</v>
      </c>
      <c r="B4" s="80" t="s">
        <v>40</v>
      </c>
      <c r="C4" s="45">
        <v>419999</v>
      </c>
      <c r="D4" s="82">
        <v>577605</v>
      </c>
      <c r="E4" s="31">
        <f t="shared" si="0"/>
        <v>157606</v>
      </c>
    </row>
    <row r="5" spans="1:6" x14ac:dyDescent="0.25">
      <c r="A5" s="27">
        <v>3</v>
      </c>
      <c r="B5" s="65" t="s">
        <v>99</v>
      </c>
      <c r="C5" s="25">
        <v>1700000</v>
      </c>
      <c r="D5" s="25">
        <v>2042499</v>
      </c>
      <c r="E5" s="31">
        <f t="shared" si="0"/>
        <v>342499</v>
      </c>
      <c r="F5" s="78"/>
    </row>
    <row r="6" spans="1:6" x14ac:dyDescent="0.25">
      <c r="A6" s="4">
        <v>4</v>
      </c>
      <c r="B6" s="65" t="s">
        <v>27</v>
      </c>
      <c r="C6" s="25">
        <v>1899999</v>
      </c>
      <c r="D6" s="25">
        <v>2089999</v>
      </c>
      <c r="E6" s="31">
        <f t="shared" si="0"/>
        <v>190000</v>
      </c>
    </row>
    <row r="7" spans="1:6" x14ac:dyDescent="0.25">
      <c r="A7" s="27">
        <v>5</v>
      </c>
      <c r="B7" s="65" t="s">
        <v>106</v>
      </c>
      <c r="C7" s="25">
        <v>1000000</v>
      </c>
      <c r="D7" s="25">
        <v>1376570</v>
      </c>
      <c r="E7" s="31">
        <f t="shared" si="0"/>
        <v>376570</v>
      </c>
    </row>
    <row r="8" spans="1:6" x14ac:dyDescent="0.25">
      <c r="A8" s="18">
        <v>6</v>
      </c>
      <c r="B8" s="18" t="s">
        <v>73</v>
      </c>
      <c r="C8" s="25">
        <v>3500000</v>
      </c>
      <c r="D8" s="25">
        <v>3941650</v>
      </c>
      <c r="E8" s="31">
        <f t="shared" si="0"/>
        <v>441650</v>
      </c>
    </row>
    <row r="9" spans="1:6" x14ac:dyDescent="0.25">
      <c r="A9" s="75">
        <v>7</v>
      </c>
      <c r="B9" s="65" t="s">
        <v>99</v>
      </c>
      <c r="C9" s="25">
        <v>1900001</v>
      </c>
      <c r="D9" s="25">
        <v>2033000</v>
      </c>
      <c r="E9" s="31">
        <f t="shared" si="0"/>
        <v>132999</v>
      </c>
    </row>
    <row r="10" spans="1:6" x14ac:dyDescent="0.25">
      <c r="A10" s="27">
        <v>8</v>
      </c>
      <c r="B10" s="27" t="s">
        <v>104</v>
      </c>
      <c r="C10" s="25">
        <v>3300000</v>
      </c>
      <c r="D10" s="25">
        <v>3419999</v>
      </c>
      <c r="E10" s="31">
        <f t="shared" si="0"/>
        <v>119999</v>
      </c>
    </row>
    <row r="11" spans="1:6" x14ac:dyDescent="0.25">
      <c r="A11" s="27">
        <v>9</v>
      </c>
      <c r="B11" s="18" t="s">
        <v>99</v>
      </c>
      <c r="C11" s="25">
        <v>1900000</v>
      </c>
      <c r="D11" s="25">
        <v>2042499</v>
      </c>
      <c r="E11" s="31">
        <f t="shared" si="0"/>
        <v>142499</v>
      </c>
    </row>
    <row r="12" spans="1:6" x14ac:dyDescent="0.25">
      <c r="A12" s="4">
        <v>10</v>
      </c>
      <c r="B12" s="4" t="s">
        <v>13</v>
      </c>
      <c r="C12" s="25">
        <v>2300000</v>
      </c>
      <c r="D12" s="25">
        <v>2422500</v>
      </c>
      <c r="E12" s="31">
        <f t="shared" si="0"/>
        <v>122500</v>
      </c>
      <c r="F12" s="57"/>
    </row>
    <row r="13" spans="1:6" x14ac:dyDescent="0.25">
      <c r="A13" s="27">
        <v>11</v>
      </c>
      <c r="B13" s="4" t="s">
        <v>13</v>
      </c>
      <c r="C13" s="25">
        <v>2300000</v>
      </c>
      <c r="D13" s="25">
        <v>2375000</v>
      </c>
      <c r="E13" s="31">
        <f t="shared" si="0"/>
        <v>75000</v>
      </c>
    </row>
    <row r="14" spans="1:6" x14ac:dyDescent="0.25">
      <c r="A14" s="4">
        <v>12</v>
      </c>
      <c r="B14" s="4" t="s">
        <v>13</v>
      </c>
      <c r="C14" s="25">
        <v>2299999</v>
      </c>
      <c r="D14" s="25">
        <v>2375000</v>
      </c>
      <c r="E14" s="31">
        <f t="shared" si="0"/>
        <v>75001</v>
      </c>
    </row>
    <row r="15" spans="1:6" x14ac:dyDescent="0.25">
      <c r="A15" s="27">
        <v>13</v>
      </c>
      <c r="B15" s="18" t="s">
        <v>13</v>
      </c>
      <c r="C15" s="25">
        <v>2300000</v>
      </c>
      <c r="D15" s="25">
        <v>2375000</v>
      </c>
      <c r="E15" s="31">
        <f t="shared" si="0"/>
        <v>75000</v>
      </c>
    </row>
    <row r="16" spans="1:6" x14ac:dyDescent="0.25">
      <c r="A16" s="18">
        <v>14</v>
      </c>
      <c r="B16" s="18" t="s">
        <v>13</v>
      </c>
      <c r="C16" s="25">
        <v>2300000</v>
      </c>
      <c r="D16" s="25">
        <v>2422500</v>
      </c>
      <c r="E16" s="31">
        <f t="shared" si="0"/>
        <v>122500</v>
      </c>
    </row>
    <row r="17" spans="1:7" x14ac:dyDescent="0.25">
      <c r="A17" s="75">
        <v>15</v>
      </c>
      <c r="B17" s="27" t="s">
        <v>13</v>
      </c>
      <c r="C17" s="25">
        <v>2250000</v>
      </c>
      <c r="D17" s="25">
        <v>2422500</v>
      </c>
      <c r="E17" s="31">
        <f t="shared" si="0"/>
        <v>172500</v>
      </c>
    </row>
    <row r="18" spans="1:7" x14ac:dyDescent="0.25">
      <c r="A18" s="27">
        <v>16</v>
      </c>
      <c r="B18" s="18" t="s">
        <v>27</v>
      </c>
      <c r="C18" s="25">
        <v>1899999</v>
      </c>
      <c r="D18" s="25">
        <v>2090000</v>
      </c>
      <c r="E18" s="31">
        <f t="shared" si="0"/>
        <v>190001</v>
      </c>
    </row>
    <row r="19" spans="1:7" x14ac:dyDescent="0.25">
      <c r="A19" s="18">
        <v>17</v>
      </c>
      <c r="B19" s="4" t="s">
        <v>102</v>
      </c>
      <c r="C19" s="25">
        <v>660000</v>
      </c>
      <c r="D19" s="25">
        <v>1330000</v>
      </c>
      <c r="E19" s="31">
        <f t="shared" si="0"/>
        <v>670000</v>
      </c>
    </row>
    <row r="20" spans="1:7" x14ac:dyDescent="0.25">
      <c r="A20" s="75">
        <v>18</v>
      </c>
      <c r="B20" s="27" t="s">
        <v>104</v>
      </c>
      <c r="C20" s="25">
        <v>3300000</v>
      </c>
      <c r="D20" s="25">
        <v>3419999</v>
      </c>
      <c r="E20" s="31">
        <f t="shared" si="0"/>
        <v>119999</v>
      </c>
    </row>
    <row r="21" spans="1:7" x14ac:dyDescent="0.25">
      <c r="A21" s="27">
        <v>19</v>
      </c>
      <c r="B21" s="4" t="s">
        <v>13</v>
      </c>
      <c r="C21" s="25">
        <v>2299999</v>
      </c>
      <c r="D21" s="66">
        <v>2422500</v>
      </c>
      <c r="E21" s="31">
        <f t="shared" si="0"/>
        <v>122501</v>
      </c>
    </row>
    <row r="22" spans="1:7" x14ac:dyDescent="0.25">
      <c r="A22" s="18">
        <v>20</v>
      </c>
      <c r="B22" s="27" t="s">
        <v>27</v>
      </c>
      <c r="C22" s="25">
        <v>1900000</v>
      </c>
      <c r="D22" s="25">
        <v>2090000</v>
      </c>
      <c r="E22" s="31">
        <f t="shared" si="0"/>
        <v>190000</v>
      </c>
    </row>
    <row r="23" spans="1:7" x14ac:dyDescent="0.25">
      <c r="A23" s="75">
        <v>21</v>
      </c>
      <c r="B23" s="18" t="s">
        <v>7</v>
      </c>
      <c r="C23" s="25">
        <v>15000000</v>
      </c>
      <c r="D23" s="25">
        <v>15199999</v>
      </c>
      <c r="E23" s="31">
        <f t="shared" si="0"/>
        <v>199999</v>
      </c>
    </row>
    <row r="24" spans="1:7" x14ac:dyDescent="0.25">
      <c r="A24" s="27">
        <v>22</v>
      </c>
      <c r="B24" s="18" t="s">
        <v>41</v>
      </c>
      <c r="C24" s="25">
        <v>1500000</v>
      </c>
      <c r="D24" s="66">
        <v>1566550</v>
      </c>
      <c r="E24" s="31">
        <f t="shared" si="0"/>
        <v>66550</v>
      </c>
      <c r="F24" s="12"/>
      <c r="G24" s="12"/>
    </row>
    <row r="25" spans="1:7" x14ac:dyDescent="0.25">
      <c r="A25" s="18">
        <v>23</v>
      </c>
      <c r="B25" s="18" t="s">
        <v>13</v>
      </c>
      <c r="C25" s="65">
        <v>2300000</v>
      </c>
      <c r="D25" s="66">
        <v>2422500</v>
      </c>
      <c r="E25" s="31">
        <f t="shared" si="0"/>
        <v>122500</v>
      </c>
    </row>
    <row r="26" spans="1:7" x14ac:dyDescent="0.25">
      <c r="A26" s="75">
        <v>24</v>
      </c>
      <c r="B26" s="76" t="s">
        <v>13</v>
      </c>
      <c r="C26" s="65">
        <v>2300000</v>
      </c>
      <c r="D26" s="66">
        <v>2470000</v>
      </c>
      <c r="E26" s="31">
        <f t="shared" si="0"/>
        <v>170000</v>
      </c>
    </row>
    <row r="27" spans="1:7" x14ac:dyDescent="0.25">
      <c r="A27" s="69">
        <v>25</v>
      </c>
      <c r="B27" s="76" t="s">
        <v>13</v>
      </c>
      <c r="C27" s="25">
        <v>2200000</v>
      </c>
      <c r="D27" s="66">
        <v>2470000</v>
      </c>
      <c r="E27" s="31">
        <f t="shared" si="0"/>
        <v>270000</v>
      </c>
    </row>
    <row r="28" spans="1:7" x14ac:dyDescent="0.25">
      <c r="A28" s="64">
        <v>26</v>
      </c>
      <c r="B28" s="76" t="s">
        <v>13</v>
      </c>
      <c r="C28" s="25">
        <v>2200000</v>
      </c>
      <c r="D28" s="66">
        <v>2470000</v>
      </c>
      <c r="E28" s="31">
        <f t="shared" si="0"/>
        <v>270000</v>
      </c>
    </row>
    <row r="29" spans="1:7" x14ac:dyDescent="0.25">
      <c r="A29" s="75">
        <v>27</v>
      </c>
      <c r="B29" s="18" t="s">
        <v>104</v>
      </c>
      <c r="C29" s="25">
        <v>3000001</v>
      </c>
      <c r="D29" s="45">
        <v>2850000</v>
      </c>
      <c r="E29" s="31">
        <f t="shared" si="0"/>
        <v>-150001</v>
      </c>
    </row>
    <row r="30" spans="1:7" x14ac:dyDescent="0.25">
      <c r="A30" s="69">
        <v>28</v>
      </c>
      <c r="B30" s="18" t="s">
        <v>104</v>
      </c>
      <c r="C30" s="25">
        <v>3000001</v>
      </c>
      <c r="D30" s="45"/>
      <c r="E30" s="31">
        <f t="shared" si="0"/>
        <v>-3000001</v>
      </c>
    </row>
    <row r="31" spans="1:7" x14ac:dyDescent="0.25">
      <c r="A31" s="69">
        <v>29</v>
      </c>
      <c r="B31" s="84" t="s">
        <v>80</v>
      </c>
      <c r="C31" s="25">
        <v>2867000</v>
      </c>
      <c r="D31" s="42">
        <v>3689474</v>
      </c>
      <c r="E31" s="31">
        <f t="shared" si="0"/>
        <v>822474</v>
      </c>
    </row>
    <row r="32" spans="1:7" x14ac:dyDescent="0.25">
      <c r="A32" s="64">
        <v>30</v>
      </c>
      <c r="B32" s="27" t="s">
        <v>40</v>
      </c>
      <c r="C32" s="25">
        <v>1019991</v>
      </c>
      <c r="D32" s="42">
        <v>1185620</v>
      </c>
      <c r="E32" s="31">
        <f t="shared" si="0"/>
        <v>165629</v>
      </c>
    </row>
    <row r="33" spans="1:5" x14ac:dyDescent="0.25">
      <c r="A33" s="75">
        <v>31</v>
      </c>
      <c r="B33" s="27" t="s">
        <v>66</v>
      </c>
      <c r="C33" s="25">
        <v>750000</v>
      </c>
      <c r="D33" s="42">
        <v>902500</v>
      </c>
      <c r="E33" s="31">
        <f t="shared" si="0"/>
        <v>152500</v>
      </c>
    </row>
    <row r="34" spans="1:5" x14ac:dyDescent="0.25">
      <c r="A34" s="69">
        <v>32</v>
      </c>
      <c r="B34" s="27" t="s">
        <v>53</v>
      </c>
      <c r="C34" s="25">
        <v>500000</v>
      </c>
      <c r="D34" s="25">
        <v>665000</v>
      </c>
      <c r="E34" s="31">
        <f t="shared" si="0"/>
        <v>165000</v>
      </c>
    </row>
    <row r="35" spans="1:5" x14ac:dyDescent="0.25">
      <c r="A35" s="69">
        <v>33</v>
      </c>
      <c r="B35" s="18" t="s">
        <v>104</v>
      </c>
      <c r="C35" s="25">
        <v>3200000</v>
      </c>
      <c r="D35" s="25"/>
      <c r="E35" s="31">
        <f t="shared" si="0"/>
        <v>-3200000</v>
      </c>
    </row>
    <row r="36" spans="1:5" x14ac:dyDescent="0.25">
      <c r="A36" s="64">
        <v>34</v>
      </c>
      <c r="B36" s="18" t="s">
        <v>104</v>
      </c>
      <c r="C36" s="25">
        <v>3200000</v>
      </c>
      <c r="D36" s="25"/>
      <c r="E36" s="31">
        <f t="shared" si="0"/>
        <v>-3200000</v>
      </c>
    </row>
    <row r="37" spans="1:5" x14ac:dyDescent="0.25">
      <c r="A37" s="52">
        <v>35</v>
      </c>
      <c r="B37" s="18" t="s">
        <v>111</v>
      </c>
      <c r="C37" s="25">
        <v>4500000</v>
      </c>
      <c r="D37" s="6"/>
      <c r="E37" s="31">
        <f t="shared" si="0"/>
        <v>-4500000</v>
      </c>
    </row>
    <row r="38" spans="1:5" x14ac:dyDescent="0.25">
      <c r="A38" s="89" t="s">
        <v>8</v>
      </c>
      <c r="B38" s="89"/>
      <c r="C38" s="89"/>
      <c r="D38" s="89"/>
      <c r="E38" s="8">
        <v>344498</v>
      </c>
    </row>
    <row r="39" spans="1:5" x14ac:dyDescent="0.25">
      <c r="A39" s="89" t="s">
        <v>9</v>
      </c>
      <c r="B39" s="89"/>
      <c r="C39" s="89"/>
      <c r="D39" s="89"/>
      <c r="E39" s="8">
        <f>SUM(E3:E37)-E38</f>
        <v>-7874357</v>
      </c>
    </row>
    <row r="40" spans="1:5" x14ac:dyDescent="0.25">
      <c r="A40" s="52"/>
      <c r="B40" s="27"/>
      <c r="C40" s="25"/>
      <c r="D40" s="55"/>
      <c r="E40" s="25"/>
    </row>
    <row r="41" spans="1:5" x14ac:dyDescent="0.25">
      <c r="A41" s="27"/>
      <c r="B41" s="18"/>
      <c r="C41" s="72"/>
      <c r="D41" s="72"/>
      <c r="E41" s="25"/>
    </row>
    <row r="42" spans="1:5" x14ac:dyDescent="0.25">
      <c r="A42" s="27"/>
      <c r="B42" s="18"/>
      <c r="C42" s="72"/>
      <c r="D42" s="72"/>
      <c r="E42" s="25"/>
    </row>
    <row r="43" spans="1:5" x14ac:dyDescent="0.25">
      <c r="A43" s="52"/>
      <c r="B43" s="27"/>
      <c r="C43" s="25"/>
      <c r="D43" s="25"/>
      <c r="E43" s="25"/>
    </row>
    <row r="44" spans="1:5" x14ac:dyDescent="0.25">
      <c r="A44" s="27"/>
      <c r="B44" s="65"/>
      <c r="C44" s="25"/>
      <c r="D44" s="25"/>
      <c r="E44" s="25"/>
    </row>
    <row r="45" spans="1:5" x14ac:dyDescent="0.25">
      <c r="A45" s="27"/>
      <c r="B45" s="65"/>
      <c r="C45" s="25"/>
      <c r="D45" s="21"/>
      <c r="E45" s="25"/>
    </row>
    <row r="46" spans="1:5" x14ac:dyDescent="0.25">
      <c r="A46" s="52"/>
      <c r="B46" s="27"/>
      <c r="C46" s="65"/>
      <c r="D46" s="65"/>
      <c r="E46" s="25"/>
    </row>
    <row r="47" spans="1:5" x14ac:dyDescent="0.25">
      <c r="A47" s="27"/>
      <c r="B47" s="65"/>
      <c r="C47" s="65"/>
      <c r="D47" s="65"/>
      <c r="E47" s="25"/>
    </row>
    <row r="48" spans="1:5" x14ac:dyDescent="0.25">
      <c r="A48" s="27"/>
      <c r="B48" s="65"/>
      <c r="C48" s="25"/>
      <c r="D48" s="65"/>
      <c r="E48" s="25"/>
    </row>
    <row r="49" spans="1:5" x14ac:dyDescent="0.25">
      <c r="A49" s="52"/>
      <c r="C49" s="25"/>
      <c r="D49" s="6"/>
      <c r="E49" s="25"/>
    </row>
    <row r="50" spans="1:5" x14ac:dyDescent="0.25">
      <c r="A50" s="27"/>
      <c r="B50" s="18"/>
      <c r="C50" s="6"/>
      <c r="D50" s="6"/>
      <c r="E50" s="25"/>
    </row>
    <row r="51" spans="1:5" x14ac:dyDescent="0.25">
      <c r="A51" s="27"/>
      <c r="B51" s="18"/>
      <c r="C51" s="6"/>
      <c r="D51" s="6"/>
      <c r="E51" s="25"/>
    </row>
    <row r="52" spans="1:5" x14ac:dyDescent="0.25">
      <c r="A52" s="52"/>
      <c r="C52" s="6"/>
      <c r="D52" s="6"/>
      <c r="E52" s="25"/>
    </row>
    <row r="53" spans="1:5" x14ac:dyDescent="0.25">
      <c r="A53" s="27"/>
      <c r="B53" s="26"/>
      <c r="C53" s="26"/>
      <c r="D53" s="26"/>
      <c r="E53" s="25"/>
    </row>
    <row r="54" spans="1:5" x14ac:dyDescent="0.25">
      <c r="A54" s="27"/>
      <c r="B54" s="26"/>
      <c r="C54" s="26"/>
      <c r="D54" s="26"/>
      <c r="E54" s="25"/>
    </row>
    <row r="55" spans="1:5" x14ac:dyDescent="0.25">
      <c r="A55" s="52"/>
      <c r="B55" s="26"/>
      <c r="C55" s="6"/>
      <c r="D55" s="6"/>
      <c r="E55" s="6"/>
    </row>
    <row r="56" spans="1:5" x14ac:dyDescent="0.25">
      <c r="A56" s="27"/>
      <c r="C56" s="6"/>
      <c r="D56" s="6"/>
      <c r="E56" s="6"/>
    </row>
    <row r="57" spans="1:5" x14ac:dyDescent="0.25">
      <c r="A57" s="27"/>
      <c r="C57" s="6"/>
      <c r="D57" s="6"/>
      <c r="E57" s="6"/>
    </row>
    <row r="58" spans="1:5" x14ac:dyDescent="0.25">
      <c r="A58" s="75"/>
      <c r="C58" s="6"/>
      <c r="D58" s="6"/>
      <c r="E58" s="6"/>
    </row>
    <row r="59" spans="1:5" x14ac:dyDescent="0.25">
      <c r="A59" s="75"/>
      <c r="C59" s="6"/>
      <c r="D59" s="6"/>
      <c r="E59" s="6"/>
    </row>
    <row r="60" spans="1:5" x14ac:dyDescent="0.25">
      <c r="A60" s="27"/>
      <c r="C60" s="6"/>
      <c r="D60" s="6"/>
      <c r="E60" s="6"/>
    </row>
    <row r="61" spans="1:5" x14ac:dyDescent="0.25">
      <c r="A61" s="75"/>
      <c r="B61" s="18"/>
      <c r="C61" s="6"/>
      <c r="D61" s="6"/>
      <c r="E61" s="6"/>
    </row>
    <row r="62" spans="1:5" x14ac:dyDescent="0.25">
      <c r="A62" s="75"/>
      <c r="C62" s="6"/>
      <c r="D62" s="6"/>
      <c r="E62" s="6"/>
    </row>
    <row r="63" spans="1:5" x14ac:dyDescent="0.25">
      <c r="A63" s="27"/>
      <c r="C63" s="6"/>
      <c r="D63" s="6"/>
      <c r="E63" s="6"/>
    </row>
    <row r="64" spans="1:5" x14ac:dyDescent="0.25">
      <c r="A64" s="75"/>
      <c r="C64" s="6"/>
      <c r="D64" s="6"/>
      <c r="E64" s="6"/>
    </row>
    <row r="65" spans="1:5" x14ac:dyDescent="0.25">
      <c r="A65" s="75"/>
      <c r="C65" s="6"/>
      <c r="D65" s="6"/>
      <c r="E65" s="6"/>
    </row>
    <row r="66" spans="1:5" x14ac:dyDescent="0.25">
      <c r="A66" s="27"/>
      <c r="C66" s="6"/>
      <c r="D66" s="6"/>
      <c r="E66" s="6"/>
    </row>
    <row r="67" spans="1:5" x14ac:dyDescent="0.25">
      <c r="A67" s="75"/>
      <c r="C67" s="6"/>
      <c r="D67" s="6"/>
      <c r="E67" s="6"/>
    </row>
    <row r="68" spans="1:5" x14ac:dyDescent="0.25">
      <c r="A68" s="75"/>
      <c r="C68" s="6"/>
      <c r="D68" s="6"/>
      <c r="E68" s="6"/>
    </row>
    <row r="69" spans="1:5" x14ac:dyDescent="0.25">
      <c r="A69" s="75"/>
      <c r="B69" s="18"/>
      <c r="C69" s="6"/>
      <c r="D69" s="6"/>
      <c r="E69" s="6"/>
    </row>
    <row r="70" spans="1:5" x14ac:dyDescent="0.25">
      <c r="A70" s="27"/>
      <c r="C70" s="6"/>
      <c r="D70" s="6"/>
      <c r="E70" s="6"/>
    </row>
    <row r="71" spans="1:5" x14ac:dyDescent="0.25">
      <c r="A71" s="75"/>
      <c r="C71" s="6"/>
      <c r="D71" s="6"/>
      <c r="E71" s="6"/>
    </row>
    <row r="72" spans="1:5" x14ac:dyDescent="0.25">
      <c r="A72" s="75"/>
      <c r="B72" s="10"/>
      <c r="C72" s="6"/>
      <c r="D72" s="6"/>
      <c r="E72" s="6"/>
    </row>
    <row r="73" spans="1:5" x14ac:dyDescent="0.25">
      <c r="A73" s="75"/>
      <c r="B73" s="26"/>
      <c r="C73" s="26"/>
      <c r="D73" s="26"/>
      <c r="E73" s="6"/>
    </row>
    <row r="74" spans="1:5" x14ac:dyDescent="0.25">
      <c r="A74" s="27"/>
      <c r="B74" s="26"/>
      <c r="C74" s="26"/>
      <c r="D74" s="26"/>
      <c r="E74" s="6"/>
    </row>
    <row r="75" spans="1:5" x14ac:dyDescent="0.25">
      <c r="A75" s="75"/>
      <c r="C75" s="6"/>
      <c r="D75" s="6"/>
      <c r="E75" s="6"/>
    </row>
    <row r="76" spans="1:5" x14ac:dyDescent="0.25">
      <c r="A76" s="75"/>
      <c r="C76" s="6"/>
      <c r="D76" s="6"/>
      <c r="E76" s="6"/>
    </row>
    <row r="77" spans="1:5" x14ac:dyDescent="0.25">
      <c r="A77" s="75"/>
      <c r="C77" s="6"/>
      <c r="D77" s="6"/>
      <c r="E77" s="6"/>
    </row>
    <row r="78" spans="1:5" x14ac:dyDescent="0.25">
      <c r="A78" s="27"/>
      <c r="B78" s="10"/>
      <c r="C78" s="6"/>
      <c r="D78" s="6"/>
      <c r="E78" s="6"/>
    </row>
    <row r="79" spans="1:5" x14ac:dyDescent="0.25">
      <c r="A79" s="75"/>
      <c r="B79" s="18"/>
      <c r="C79" s="6"/>
      <c r="D79" s="6"/>
      <c r="E79" s="6"/>
    </row>
    <row r="80" spans="1:5" x14ac:dyDescent="0.25">
      <c r="A80" s="75"/>
      <c r="C80" s="6"/>
      <c r="D80" s="6"/>
      <c r="E80" s="6"/>
    </row>
    <row r="81" spans="1:5" x14ac:dyDescent="0.25">
      <c r="A81" s="75"/>
      <c r="C81" s="6"/>
      <c r="D81" s="6"/>
      <c r="E81" s="6"/>
    </row>
    <row r="82" spans="1:5" x14ac:dyDescent="0.25">
      <c r="A82" s="27"/>
      <c r="C82" s="6"/>
      <c r="D82" s="6"/>
      <c r="E82" s="6"/>
    </row>
    <row r="83" spans="1:5" x14ac:dyDescent="0.25">
      <c r="A83" s="75"/>
      <c r="C83" s="6"/>
      <c r="D83" s="6"/>
      <c r="E83" s="6"/>
    </row>
    <row r="84" spans="1:5" x14ac:dyDescent="0.25">
      <c r="A84" s="75"/>
      <c r="C84" s="6"/>
      <c r="D84" s="6"/>
      <c r="E84" s="6"/>
    </row>
    <row r="85" spans="1:5" x14ac:dyDescent="0.25">
      <c r="A85" s="75"/>
      <c r="C85" s="6"/>
      <c r="D85" s="6"/>
      <c r="E85" s="6"/>
    </row>
    <row r="86" spans="1:5" x14ac:dyDescent="0.25">
      <c r="A86" s="75"/>
      <c r="C86" s="6"/>
      <c r="D86" s="6"/>
      <c r="E86" s="6"/>
    </row>
    <row r="87" spans="1:5" x14ac:dyDescent="0.25">
      <c r="A87" s="75"/>
      <c r="C87" s="6"/>
      <c r="D87" s="6"/>
      <c r="E87" s="6"/>
    </row>
    <row r="88" spans="1:5" x14ac:dyDescent="0.25">
      <c r="A88" s="75"/>
      <c r="C88" s="6"/>
      <c r="D88" s="6"/>
      <c r="E88" s="6"/>
    </row>
    <row r="89" spans="1:5" x14ac:dyDescent="0.25">
      <c r="A89" s="75"/>
      <c r="C89" s="6"/>
      <c r="D89" s="6"/>
      <c r="E89" s="6"/>
    </row>
    <row r="90" spans="1:5" x14ac:dyDescent="0.25">
      <c r="A90" s="75"/>
      <c r="C90" s="6"/>
      <c r="D90" s="6"/>
      <c r="E90" s="6"/>
    </row>
    <row r="91" spans="1:5" x14ac:dyDescent="0.25">
      <c r="A91" s="75"/>
      <c r="C91" s="6"/>
      <c r="D91" s="6"/>
      <c r="E91" s="6"/>
    </row>
    <row r="92" spans="1:5" x14ac:dyDescent="0.25">
      <c r="A92" s="75"/>
      <c r="C92" s="6"/>
      <c r="D92" s="6"/>
      <c r="E92" s="6"/>
    </row>
    <row r="93" spans="1:5" x14ac:dyDescent="0.25">
      <c r="A93" s="75"/>
      <c r="B93" s="18"/>
      <c r="C93" s="6"/>
      <c r="D93" s="6"/>
      <c r="E93" s="6"/>
    </row>
    <row r="94" spans="1:5" x14ac:dyDescent="0.25">
      <c r="A94" s="75"/>
      <c r="C94" s="6"/>
      <c r="D94" s="6"/>
      <c r="E94" s="6"/>
    </row>
    <row r="95" spans="1:5" x14ac:dyDescent="0.25">
      <c r="B95" s="18"/>
      <c r="C95" s="6"/>
      <c r="D95" s="6"/>
      <c r="E95" s="6"/>
    </row>
    <row r="96" spans="1:5" x14ac:dyDescent="0.25">
      <c r="B96" s="18"/>
      <c r="C96" s="6"/>
      <c r="D96" s="6"/>
      <c r="E96" s="6"/>
    </row>
    <row r="97" spans="1:5" x14ac:dyDescent="0.25">
      <c r="B97" s="18"/>
      <c r="C97" s="6"/>
      <c r="D97" s="6"/>
      <c r="E97" s="6"/>
    </row>
    <row r="98" spans="1:5" x14ac:dyDescent="0.25">
      <c r="B98" s="18"/>
      <c r="C98" s="6"/>
      <c r="D98" s="6"/>
      <c r="E98" s="6"/>
    </row>
    <row r="99" spans="1:5" x14ac:dyDescent="0.25">
      <c r="A99" s="76"/>
      <c r="B99" s="76"/>
      <c r="C99" s="76"/>
      <c r="D99" s="76"/>
      <c r="E99" s="77"/>
    </row>
    <row r="100" spans="1:5" x14ac:dyDescent="0.25">
      <c r="A100" s="76"/>
      <c r="B100" s="76"/>
      <c r="C100" s="76"/>
      <c r="D100" s="76"/>
      <c r="E100" s="77"/>
    </row>
    <row r="101" spans="1:5" x14ac:dyDescent="0.25">
      <c r="C101" s="6"/>
      <c r="D101" s="6"/>
      <c r="E101" s="6"/>
    </row>
    <row r="102" spans="1:5" x14ac:dyDescent="0.25">
      <c r="C102" s="6"/>
      <c r="D102" s="6"/>
      <c r="E102" s="6"/>
    </row>
    <row r="103" spans="1:5" x14ac:dyDescent="0.25">
      <c r="C103" s="6"/>
      <c r="D103" s="6"/>
      <c r="E103" s="6"/>
    </row>
    <row r="104" spans="1:5" x14ac:dyDescent="0.25">
      <c r="C104" s="6"/>
      <c r="D104" s="6"/>
      <c r="E104" s="6"/>
    </row>
    <row r="105" spans="1:5" x14ac:dyDescent="0.25">
      <c r="C105" s="6"/>
      <c r="D105" s="6"/>
      <c r="E105" s="6"/>
    </row>
    <row r="106" spans="1:5" x14ac:dyDescent="0.25">
      <c r="C106" s="6"/>
      <c r="D106" s="6"/>
      <c r="E106" s="6"/>
    </row>
    <row r="107" spans="1:5" x14ac:dyDescent="0.25">
      <c r="C107" s="6"/>
      <c r="D107" s="6"/>
      <c r="E107" s="6"/>
    </row>
    <row r="108" spans="1:5" x14ac:dyDescent="0.25">
      <c r="C108" s="6"/>
      <c r="D108" s="6"/>
      <c r="E108" s="6"/>
    </row>
    <row r="109" spans="1:5" x14ac:dyDescent="0.25">
      <c r="C109" s="6"/>
      <c r="D109" s="6"/>
      <c r="E109" s="6"/>
    </row>
    <row r="110" spans="1:5" x14ac:dyDescent="0.25">
      <c r="C110" s="6"/>
      <c r="D110" s="6"/>
      <c r="E110" s="6"/>
    </row>
    <row r="111" spans="1:5" x14ac:dyDescent="0.25">
      <c r="C111" s="6"/>
      <c r="D111" s="6"/>
      <c r="E111" s="6"/>
    </row>
    <row r="112" spans="1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38:D38"/>
    <mergeCell ref="A39:D39"/>
  </mergeCells>
  <conditionalFormatting sqref="E1">
    <cfRule type="cellIs" dxfId="103" priority="4" operator="lessThan">
      <formula>0</formula>
    </cfRule>
  </conditionalFormatting>
  <conditionalFormatting sqref="E3:E37 E40:E117">
    <cfRule type="cellIs" dxfId="102" priority="2" operator="lessThan">
      <formula>0</formula>
    </cfRule>
  </conditionalFormatting>
  <conditionalFormatting sqref="E119:E163">
    <cfRule type="cellIs" dxfId="101" priority="3" operator="lessThan">
      <formula>0</formula>
    </cfRule>
  </conditionalFormatting>
  <conditionalFormatting sqref="E38:E39">
    <cfRule type="cellIs" dxfId="10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E45E-658F-4ED6-BF2A-4E21A7841A1B}">
  <dimension ref="A1:G163"/>
  <sheetViews>
    <sheetView zoomScale="145" zoomScaleNormal="145" workbookViewId="0">
      <pane ySplit="1" topLeftCell="A2" activePane="bottomLeft" state="frozen"/>
      <selection pane="bottomLeft" activeCell="G40" sqref="G40"/>
    </sheetView>
  </sheetViews>
  <sheetFormatPr defaultRowHeight="15" x14ac:dyDescent="0.25"/>
  <cols>
    <col min="1" max="1" width="7.85546875" style="4" bestFit="1" customWidth="1"/>
    <col min="2" max="2" width="39.5703125" style="4" bestFit="1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74" t="s">
        <v>0</v>
      </c>
      <c r="B1" s="74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46067</v>
      </c>
      <c r="B2" s="88"/>
      <c r="C2" s="88"/>
      <c r="D2" s="88"/>
      <c r="E2" s="88"/>
    </row>
    <row r="3" spans="1:6" x14ac:dyDescent="0.25">
      <c r="A3" s="27">
        <v>1</v>
      </c>
      <c r="B3" s="18" t="s">
        <v>27</v>
      </c>
      <c r="C3" s="6">
        <v>2000000</v>
      </c>
      <c r="D3" s="25">
        <v>2090000</v>
      </c>
      <c r="E3" s="31">
        <f t="shared" ref="E3:E42" si="0">D3-C3</f>
        <v>90000</v>
      </c>
    </row>
    <row r="4" spans="1:6" x14ac:dyDescent="0.25">
      <c r="A4" s="4">
        <v>2</v>
      </c>
      <c r="B4" s="80" t="s">
        <v>40</v>
      </c>
      <c r="C4" s="45">
        <v>3800555</v>
      </c>
      <c r="D4" s="81">
        <v>4788063</v>
      </c>
      <c r="E4" s="31">
        <f t="shared" si="0"/>
        <v>987508</v>
      </c>
    </row>
    <row r="5" spans="1:6" x14ac:dyDescent="0.25">
      <c r="A5" s="27">
        <v>3</v>
      </c>
      <c r="B5" s="65" t="s">
        <v>5</v>
      </c>
      <c r="C5" s="25">
        <v>3500000</v>
      </c>
      <c r="D5" s="25">
        <v>3702150</v>
      </c>
      <c r="E5" s="31">
        <f t="shared" si="0"/>
        <v>202150</v>
      </c>
      <c r="F5" s="74"/>
    </row>
    <row r="6" spans="1:6" x14ac:dyDescent="0.25">
      <c r="A6" s="4">
        <v>4</v>
      </c>
      <c r="B6" s="65" t="s">
        <v>5</v>
      </c>
      <c r="C6" s="25">
        <v>3500000</v>
      </c>
      <c r="D6" s="25">
        <v>3609050</v>
      </c>
      <c r="E6" s="31">
        <f t="shared" si="0"/>
        <v>109050</v>
      </c>
    </row>
    <row r="7" spans="1:6" x14ac:dyDescent="0.25">
      <c r="A7" s="27">
        <v>5</v>
      </c>
      <c r="B7" s="65" t="s">
        <v>5</v>
      </c>
      <c r="C7" s="25">
        <v>3500000</v>
      </c>
      <c r="D7" s="25">
        <v>3562500</v>
      </c>
      <c r="E7" s="31">
        <f t="shared" si="0"/>
        <v>62500</v>
      </c>
    </row>
    <row r="8" spans="1:6" x14ac:dyDescent="0.25">
      <c r="A8" s="18">
        <v>6</v>
      </c>
      <c r="B8" s="18" t="s">
        <v>27</v>
      </c>
      <c r="C8" s="25">
        <v>2000000</v>
      </c>
      <c r="D8" s="25">
        <v>2123250</v>
      </c>
      <c r="E8" s="31">
        <f t="shared" si="0"/>
        <v>123250</v>
      </c>
    </row>
    <row r="9" spans="1:6" x14ac:dyDescent="0.25">
      <c r="A9" s="75">
        <v>7</v>
      </c>
      <c r="B9" s="65" t="s">
        <v>5</v>
      </c>
      <c r="C9" s="25">
        <v>3300000</v>
      </c>
      <c r="D9" s="25">
        <v>3552050</v>
      </c>
      <c r="E9" s="31">
        <f t="shared" si="0"/>
        <v>252050</v>
      </c>
    </row>
    <row r="10" spans="1:6" x14ac:dyDescent="0.25">
      <c r="A10" s="27">
        <v>8</v>
      </c>
      <c r="B10" s="27" t="s">
        <v>106</v>
      </c>
      <c r="C10" s="25">
        <v>800000</v>
      </c>
      <c r="D10" s="25">
        <v>1037400</v>
      </c>
      <c r="E10" s="31">
        <f t="shared" si="0"/>
        <v>237400</v>
      </c>
    </row>
    <row r="11" spans="1:6" x14ac:dyDescent="0.25">
      <c r="A11" s="75">
        <v>9</v>
      </c>
      <c r="B11" s="18" t="s">
        <v>27</v>
      </c>
      <c r="C11" s="25">
        <v>2000000</v>
      </c>
      <c r="D11" s="25">
        <v>2123250</v>
      </c>
      <c r="E11" s="31">
        <f t="shared" si="0"/>
        <v>123250</v>
      </c>
    </row>
    <row r="12" spans="1:6" x14ac:dyDescent="0.25">
      <c r="A12" s="75">
        <v>10</v>
      </c>
      <c r="B12" s="4" t="s">
        <v>29</v>
      </c>
      <c r="C12" s="25">
        <v>800000</v>
      </c>
      <c r="D12" s="25">
        <v>883432</v>
      </c>
      <c r="E12" s="31">
        <f t="shared" si="0"/>
        <v>83432</v>
      </c>
      <c r="F12" s="57"/>
    </row>
    <row r="13" spans="1:6" x14ac:dyDescent="0.25">
      <c r="A13" s="27">
        <v>11</v>
      </c>
      <c r="B13" s="27" t="s">
        <v>29</v>
      </c>
      <c r="C13" s="25">
        <v>800000</v>
      </c>
      <c r="D13" s="25">
        <v>883432</v>
      </c>
      <c r="E13" s="31">
        <f t="shared" si="0"/>
        <v>83432</v>
      </c>
    </row>
    <row r="14" spans="1:6" x14ac:dyDescent="0.25">
      <c r="A14" s="75">
        <v>12</v>
      </c>
      <c r="B14" s="27" t="s">
        <v>110</v>
      </c>
      <c r="C14" s="25">
        <v>350000</v>
      </c>
      <c r="D14" s="25">
        <v>696350</v>
      </c>
      <c r="E14" s="31">
        <f t="shared" si="0"/>
        <v>346350</v>
      </c>
    </row>
    <row r="15" spans="1:6" x14ac:dyDescent="0.25">
      <c r="A15" s="27">
        <v>13</v>
      </c>
      <c r="B15" s="18" t="s">
        <v>27</v>
      </c>
      <c r="C15" s="25">
        <v>2000000</v>
      </c>
      <c r="D15" s="25">
        <v>2123250</v>
      </c>
      <c r="E15" s="31">
        <f t="shared" si="0"/>
        <v>123250</v>
      </c>
    </row>
    <row r="16" spans="1:6" x14ac:dyDescent="0.25">
      <c r="A16" s="75">
        <v>14</v>
      </c>
      <c r="B16" s="18" t="s">
        <v>27</v>
      </c>
      <c r="C16" s="25">
        <v>2000000</v>
      </c>
      <c r="D16" s="25">
        <v>2123250</v>
      </c>
      <c r="E16" s="31">
        <f t="shared" si="0"/>
        <v>123250</v>
      </c>
    </row>
    <row r="17" spans="1:7" x14ac:dyDescent="0.25">
      <c r="A17" s="27">
        <v>15</v>
      </c>
      <c r="B17" s="27" t="s">
        <v>43</v>
      </c>
      <c r="C17" s="25">
        <v>600000</v>
      </c>
      <c r="D17" s="25">
        <v>855000</v>
      </c>
      <c r="E17" s="31">
        <f t="shared" si="0"/>
        <v>255000</v>
      </c>
    </row>
    <row r="18" spans="1:7" x14ac:dyDescent="0.25">
      <c r="A18" s="75">
        <v>16</v>
      </c>
      <c r="B18" s="18" t="s">
        <v>43</v>
      </c>
      <c r="C18" s="25">
        <v>600000</v>
      </c>
      <c r="D18" s="25">
        <v>827452</v>
      </c>
      <c r="E18" s="31">
        <f t="shared" si="0"/>
        <v>227452</v>
      </c>
    </row>
    <row r="19" spans="1:7" x14ac:dyDescent="0.25">
      <c r="A19" s="27">
        <v>17</v>
      </c>
      <c r="B19" s="4" t="s">
        <v>99</v>
      </c>
      <c r="C19" s="25">
        <v>1900000</v>
      </c>
      <c r="D19" s="25">
        <v>2232500</v>
      </c>
      <c r="E19" s="31">
        <f t="shared" si="0"/>
        <v>332500</v>
      </c>
    </row>
    <row r="20" spans="1:7" x14ac:dyDescent="0.25">
      <c r="A20" s="75">
        <v>18</v>
      </c>
      <c r="B20" s="4" t="s">
        <v>104</v>
      </c>
      <c r="C20" s="25">
        <v>3500000</v>
      </c>
      <c r="D20" s="25">
        <v>3800000</v>
      </c>
      <c r="E20" s="31">
        <f t="shared" si="0"/>
        <v>300000</v>
      </c>
    </row>
    <row r="21" spans="1:7" x14ac:dyDescent="0.25">
      <c r="A21" s="27">
        <v>19</v>
      </c>
      <c r="B21" s="4" t="s">
        <v>104</v>
      </c>
      <c r="C21" s="25">
        <v>3500000</v>
      </c>
      <c r="D21" s="66">
        <v>3799999</v>
      </c>
      <c r="E21" s="31">
        <f t="shared" si="0"/>
        <v>299999</v>
      </c>
    </row>
    <row r="22" spans="1:7" x14ac:dyDescent="0.25">
      <c r="A22" s="27">
        <v>20</v>
      </c>
      <c r="B22" s="27" t="s">
        <v>110</v>
      </c>
      <c r="C22" s="25">
        <v>3500000</v>
      </c>
      <c r="D22" s="25">
        <v>3879950</v>
      </c>
      <c r="E22" s="31">
        <f t="shared" si="0"/>
        <v>379950</v>
      </c>
    </row>
    <row r="23" spans="1:7" x14ac:dyDescent="0.25">
      <c r="A23" s="69">
        <v>21</v>
      </c>
      <c r="B23" s="18" t="s">
        <v>27</v>
      </c>
      <c r="C23" s="25">
        <v>2000000</v>
      </c>
      <c r="D23" s="25">
        <v>2117550</v>
      </c>
      <c r="E23" s="31">
        <f t="shared" si="0"/>
        <v>117550</v>
      </c>
    </row>
    <row r="24" spans="1:7" x14ac:dyDescent="0.25">
      <c r="A24" s="64">
        <v>22</v>
      </c>
      <c r="B24" s="18" t="s">
        <v>27</v>
      </c>
      <c r="C24" s="25">
        <v>2000000</v>
      </c>
      <c r="D24" s="66">
        <v>2117550</v>
      </c>
      <c r="E24" s="31">
        <f t="shared" si="0"/>
        <v>117550</v>
      </c>
      <c r="F24" s="12"/>
      <c r="G24" s="12"/>
    </row>
    <row r="25" spans="1:7" x14ac:dyDescent="0.25">
      <c r="A25" s="69">
        <v>23</v>
      </c>
      <c r="B25" s="18" t="s">
        <v>27</v>
      </c>
      <c r="C25" s="65">
        <v>2038000</v>
      </c>
      <c r="D25" s="66">
        <v>2123250</v>
      </c>
      <c r="E25" s="31">
        <f t="shared" si="0"/>
        <v>85250</v>
      </c>
    </row>
    <row r="26" spans="1:7" x14ac:dyDescent="0.25">
      <c r="A26" s="64">
        <v>24</v>
      </c>
      <c r="B26" s="76" t="s">
        <v>5</v>
      </c>
      <c r="C26" s="42">
        <v>3250000</v>
      </c>
      <c r="D26" s="66">
        <v>3657500</v>
      </c>
      <c r="E26" s="31">
        <f t="shared" si="0"/>
        <v>407500</v>
      </c>
    </row>
    <row r="27" spans="1:7" x14ac:dyDescent="0.25">
      <c r="A27" s="69">
        <v>25</v>
      </c>
      <c r="B27" s="18" t="s">
        <v>104</v>
      </c>
      <c r="C27" s="25">
        <v>3500000</v>
      </c>
      <c r="D27" s="66">
        <v>3799999</v>
      </c>
      <c r="E27" s="31">
        <f t="shared" si="0"/>
        <v>299999</v>
      </c>
    </row>
    <row r="28" spans="1:7" x14ac:dyDescent="0.25">
      <c r="A28" s="64">
        <v>26</v>
      </c>
      <c r="B28" s="18" t="s">
        <v>33</v>
      </c>
      <c r="C28" s="45">
        <v>1300000</v>
      </c>
      <c r="D28" s="66">
        <v>1377500</v>
      </c>
      <c r="E28" s="31">
        <f t="shared" si="0"/>
        <v>77500</v>
      </c>
    </row>
    <row r="29" spans="1:7" x14ac:dyDescent="0.25">
      <c r="A29" s="64">
        <v>27</v>
      </c>
      <c r="B29" s="18" t="s">
        <v>27</v>
      </c>
      <c r="C29" s="25">
        <v>2000000</v>
      </c>
      <c r="D29" s="45">
        <v>2123250</v>
      </c>
      <c r="E29" s="31">
        <f t="shared" si="0"/>
        <v>123250</v>
      </c>
    </row>
    <row r="30" spans="1:7" x14ac:dyDescent="0.25">
      <c r="A30" s="69">
        <v>28</v>
      </c>
      <c r="B30" s="18" t="s">
        <v>27</v>
      </c>
      <c r="C30" s="25">
        <v>2000000</v>
      </c>
      <c r="D30" s="45">
        <v>2123250</v>
      </c>
      <c r="E30" s="31">
        <f t="shared" si="0"/>
        <v>123250</v>
      </c>
    </row>
    <row r="31" spans="1:7" x14ac:dyDescent="0.25">
      <c r="A31" s="64">
        <v>29</v>
      </c>
      <c r="B31" s="27" t="s">
        <v>10</v>
      </c>
      <c r="C31" s="25">
        <v>16500000</v>
      </c>
      <c r="D31" s="42">
        <v>17099999</v>
      </c>
      <c r="E31" s="31">
        <f t="shared" si="0"/>
        <v>599999</v>
      </c>
    </row>
    <row r="32" spans="1:7" x14ac:dyDescent="0.25">
      <c r="A32" s="64">
        <v>30</v>
      </c>
      <c r="B32" s="27" t="s">
        <v>16</v>
      </c>
      <c r="C32" s="25">
        <v>540000</v>
      </c>
      <c r="D32" s="42">
        <v>741000</v>
      </c>
      <c r="E32" s="31">
        <f t="shared" si="0"/>
        <v>201000</v>
      </c>
    </row>
    <row r="33" spans="1:5" x14ac:dyDescent="0.25">
      <c r="A33" s="69">
        <v>31</v>
      </c>
      <c r="B33" s="27" t="s">
        <v>16</v>
      </c>
      <c r="C33" s="25">
        <v>550000</v>
      </c>
      <c r="D33" s="42">
        <v>741000</v>
      </c>
      <c r="E33" s="31">
        <f t="shared" si="0"/>
        <v>191000</v>
      </c>
    </row>
    <row r="34" spans="1:5" x14ac:dyDescent="0.25">
      <c r="A34" s="64">
        <v>32</v>
      </c>
      <c r="B34" s="27" t="s">
        <v>16</v>
      </c>
      <c r="C34" s="25">
        <v>510000</v>
      </c>
      <c r="D34" s="25">
        <v>726750</v>
      </c>
      <c r="E34" s="31">
        <f t="shared" si="0"/>
        <v>216750</v>
      </c>
    </row>
    <row r="35" spans="1:5" x14ac:dyDescent="0.25">
      <c r="A35" s="64">
        <v>33</v>
      </c>
      <c r="B35" s="18" t="s">
        <v>16</v>
      </c>
      <c r="C35" s="25">
        <v>510000</v>
      </c>
      <c r="D35" s="25">
        <v>726750</v>
      </c>
      <c r="E35" s="31">
        <f t="shared" si="0"/>
        <v>216750</v>
      </c>
    </row>
    <row r="36" spans="1:5" x14ac:dyDescent="0.25">
      <c r="A36" s="69">
        <v>34</v>
      </c>
      <c r="B36" s="18" t="s">
        <v>27</v>
      </c>
      <c r="C36" s="25">
        <v>1500000</v>
      </c>
      <c r="D36" s="25">
        <v>2090000</v>
      </c>
      <c r="E36" s="31">
        <f t="shared" si="0"/>
        <v>590000</v>
      </c>
    </row>
    <row r="37" spans="1:5" x14ac:dyDescent="0.25">
      <c r="A37" s="52">
        <v>35</v>
      </c>
      <c r="B37" s="18" t="s">
        <v>99</v>
      </c>
      <c r="C37" s="25">
        <v>2000000</v>
      </c>
      <c r="D37" s="6">
        <v>2232500</v>
      </c>
      <c r="E37" s="31">
        <f t="shared" si="0"/>
        <v>232500</v>
      </c>
    </row>
    <row r="38" spans="1:5" x14ac:dyDescent="0.25">
      <c r="A38" s="27">
        <v>36</v>
      </c>
      <c r="B38" s="18" t="s">
        <v>104</v>
      </c>
      <c r="C38" s="25">
        <v>3400000</v>
      </c>
      <c r="D38" s="55">
        <v>3424999</v>
      </c>
      <c r="E38" s="31">
        <f t="shared" si="0"/>
        <v>24999</v>
      </c>
    </row>
    <row r="39" spans="1:5" x14ac:dyDescent="0.25">
      <c r="A39" s="27">
        <v>37</v>
      </c>
      <c r="B39" s="79" t="s">
        <v>80</v>
      </c>
      <c r="C39" s="25">
        <v>1393333</v>
      </c>
      <c r="D39" s="55">
        <v>2475120</v>
      </c>
      <c r="E39" s="31">
        <f t="shared" si="0"/>
        <v>1081787</v>
      </c>
    </row>
    <row r="40" spans="1:5" x14ac:dyDescent="0.25">
      <c r="A40" s="52">
        <v>38</v>
      </c>
      <c r="B40" s="27" t="s">
        <v>24</v>
      </c>
      <c r="C40" s="25">
        <v>3200000</v>
      </c>
      <c r="D40" s="55">
        <v>3325000</v>
      </c>
      <c r="E40" s="25">
        <f t="shared" si="0"/>
        <v>125000</v>
      </c>
    </row>
    <row r="41" spans="1:5" x14ac:dyDescent="0.25">
      <c r="A41" s="27">
        <v>39</v>
      </c>
      <c r="B41" s="18" t="s">
        <v>34</v>
      </c>
      <c r="C41" s="72">
        <v>2980000</v>
      </c>
      <c r="D41" s="72">
        <v>3230000</v>
      </c>
      <c r="E41" s="25">
        <f t="shared" si="0"/>
        <v>250000</v>
      </c>
    </row>
    <row r="42" spans="1:5" x14ac:dyDescent="0.25">
      <c r="A42" s="27">
        <v>40</v>
      </c>
      <c r="B42" s="18" t="s">
        <v>104</v>
      </c>
      <c r="C42" s="72">
        <v>3499999</v>
      </c>
      <c r="D42" s="72">
        <v>3419999</v>
      </c>
      <c r="E42" s="25">
        <f t="shared" si="0"/>
        <v>-80000</v>
      </c>
    </row>
    <row r="43" spans="1:5" x14ac:dyDescent="0.25">
      <c r="A43" s="89" t="s">
        <v>8</v>
      </c>
      <c r="B43" s="89"/>
      <c r="C43" s="89"/>
      <c r="D43" s="89"/>
      <c r="E43" s="8">
        <v>690204</v>
      </c>
    </row>
    <row r="44" spans="1:5" x14ac:dyDescent="0.25">
      <c r="A44" s="89" t="s">
        <v>9</v>
      </c>
      <c r="B44" s="89"/>
      <c r="C44" s="89"/>
      <c r="D44" s="89"/>
      <c r="E44" s="8">
        <f>SUM(E3:E42)-E43</f>
        <v>9053203</v>
      </c>
    </row>
    <row r="45" spans="1:5" x14ac:dyDescent="0.25">
      <c r="A45" s="27"/>
      <c r="B45" s="65"/>
      <c r="C45" s="25"/>
      <c r="D45" s="21"/>
      <c r="E45" s="25"/>
    </row>
    <row r="46" spans="1:5" x14ac:dyDescent="0.25">
      <c r="A46" s="52"/>
      <c r="B46" s="27"/>
      <c r="C46" s="65"/>
      <c r="D46" s="65"/>
      <c r="E46" s="25"/>
    </row>
    <row r="47" spans="1:5" x14ac:dyDescent="0.25">
      <c r="A47" s="27"/>
      <c r="B47" s="65"/>
      <c r="C47" s="65"/>
      <c r="D47" s="65"/>
      <c r="E47" s="25"/>
    </row>
    <row r="48" spans="1:5" x14ac:dyDescent="0.25">
      <c r="A48" s="27"/>
      <c r="B48" s="65"/>
      <c r="C48" s="25"/>
      <c r="D48" s="65"/>
      <c r="E48" s="25"/>
    </row>
    <row r="49" spans="1:5" x14ac:dyDescent="0.25">
      <c r="A49" s="52"/>
      <c r="C49" s="25"/>
      <c r="D49" s="6"/>
      <c r="E49" s="25"/>
    </row>
    <row r="50" spans="1:5" x14ac:dyDescent="0.25">
      <c r="A50" s="27"/>
      <c r="B50" s="18"/>
      <c r="C50" s="6"/>
      <c r="D50" s="6"/>
      <c r="E50" s="25"/>
    </row>
    <row r="51" spans="1:5" x14ac:dyDescent="0.25">
      <c r="A51" s="27"/>
      <c r="B51" s="18"/>
      <c r="C51" s="6"/>
      <c r="D51" s="6"/>
      <c r="E51" s="25"/>
    </row>
    <row r="52" spans="1:5" x14ac:dyDescent="0.25">
      <c r="A52" s="52"/>
      <c r="C52" s="6"/>
      <c r="D52" s="6"/>
      <c r="E52" s="25"/>
    </row>
    <row r="53" spans="1:5" x14ac:dyDescent="0.25">
      <c r="A53" s="27"/>
      <c r="B53" s="26"/>
      <c r="C53" s="26"/>
      <c r="D53" s="26"/>
      <c r="E53" s="25"/>
    </row>
    <row r="54" spans="1:5" x14ac:dyDescent="0.25">
      <c r="A54" s="27"/>
      <c r="B54" s="26"/>
      <c r="C54" s="26"/>
      <c r="D54" s="26"/>
      <c r="E54" s="25"/>
    </row>
    <row r="55" spans="1:5" x14ac:dyDescent="0.25">
      <c r="A55" s="52"/>
      <c r="B55" s="26"/>
      <c r="C55" s="6"/>
      <c r="D55" s="6"/>
      <c r="E55" s="6"/>
    </row>
    <row r="56" spans="1:5" x14ac:dyDescent="0.25">
      <c r="A56" s="27"/>
      <c r="C56" s="6"/>
      <c r="D56" s="6"/>
      <c r="E56" s="6"/>
    </row>
    <row r="57" spans="1:5" x14ac:dyDescent="0.25">
      <c r="A57" s="27"/>
      <c r="C57" s="6"/>
      <c r="D57" s="6"/>
      <c r="E57" s="6"/>
    </row>
    <row r="58" spans="1:5" x14ac:dyDescent="0.25">
      <c r="A58" s="75"/>
      <c r="C58" s="6"/>
      <c r="D58" s="6"/>
      <c r="E58" s="6"/>
    </row>
    <row r="59" spans="1:5" x14ac:dyDescent="0.25">
      <c r="A59" s="75"/>
      <c r="C59" s="6"/>
      <c r="D59" s="6"/>
      <c r="E59" s="6"/>
    </row>
    <row r="60" spans="1:5" x14ac:dyDescent="0.25">
      <c r="A60" s="27"/>
      <c r="C60" s="6"/>
      <c r="D60" s="6"/>
      <c r="E60" s="6"/>
    </row>
    <row r="61" spans="1:5" x14ac:dyDescent="0.25">
      <c r="A61" s="75"/>
      <c r="B61" s="18"/>
      <c r="C61" s="6"/>
      <c r="D61" s="6"/>
      <c r="E61" s="6"/>
    </row>
    <row r="62" spans="1:5" x14ac:dyDescent="0.25">
      <c r="A62" s="75"/>
      <c r="C62" s="6"/>
      <c r="D62" s="6"/>
      <c r="E62" s="6"/>
    </row>
    <row r="63" spans="1:5" x14ac:dyDescent="0.25">
      <c r="A63" s="27"/>
      <c r="C63" s="6"/>
      <c r="D63" s="6"/>
      <c r="E63" s="6"/>
    </row>
    <row r="64" spans="1:5" x14ac:dyDescent="0.25">
      <c r="A64" s="75"/>
      <c r="C64" s="6"/>
      <c r="D64" s="6"/>
      <c r="E64" s="6"/>
    </row>
    <row r="65" spans="1:5" x14ac:dyDescent="0.25">
      <c r="A65" s="75"/>
      <c r="C65" s="6"/>
      <c r="D65" s="6"/>
      <c r="E65" s="6"/>
    </row>
    <row r="66" spans="1:5" x14ac:dyDescent="0.25">
      <c r="A66" s="27"/>
      <c r="C66" s="6"/>
      <c r="D66" s="6"/>
      <c r="E66" s="6"/>
    </row>
    <row r="67" spans="1:5" x14ac:dyDescent="0.25">
      <c r="A67" s="75"/>
      <c r="C67" s="6"/>
      <c r="D67" s="6"/>
      <c r="E67" s="6"/>
    </row>
    <row r="68" spans="1:5" x14ac:dyDescent="0.25">
      <c r="A68" s="75"/>
      <c r="C68" s="6"/>
      <c r="D68" s="6"/>
      <c r="E68" s="6"/>
    </row>
    <row r="69" spans="1:5" x14ac:dyDescent="0.25">
      <c r="A69" s="75"/>
      <c r="B69" s="18"/>
      <c r="C69" s="6"/>
      <c r="D69" s="6"/>
      <c r="E69" s="6"/>
    </row>
    <row r="70" spans="1:5" x14ac:dyDescent="0.25">
      <c r="A70" s="27"/>
      <c r="C70" s="6"/>
      <c r="D70" s="6"/>
      <c r="E70" s="6"/>
    </row>
    <row r="71" spans="1:5" x14ac:dyDescent="0.25">
      <c r="A71" s="75"/>
      <c r="C71" s="6"/>
      <c r="D71" s="6"/>
      <c r="E71" s="6"/>
    </row>
    <row r="72" spans="1:5" x14ac:dyDescent="0.25">
      <c r="A72" s="75"/>
      <c r="B72" s="10"/>
      <c r="C72" s="6"/>
      <c r="D72" s="6"/>
      <c r="E72" s="6"/>
    </row>
    <row r="73" spans="1:5" x14ac:dyDescent="0.25">
      <c r="A73" s="75"/>
      <c r="B73" s="26"/>
      <c r="C73" s="26"/>
      <c r="D73" s="26"/>
      <c r="E73" s="6"/>
    </row>
    <row r="74" spans="1:5" x14ac:dyDescent="0.25">
      <c r="A74" s="27"/>
      <c r="B74" s="26"/>
      <c r="C74" s="26"/>
      <c r="D74" s="26"/>
      <c r="E74" s="6"/>
    </row>
    <row r="75" spans="1:5" x14ac:dyDescent="0.25">
      <c r="A75" s="75"/>
      <c r="C75" s="6"/>
      <c r="D75" s="6"/>
      <c r="E75" s="6"/>
    </row>
    <row r="76" spans="1:5" x14ac:dyDescent="0.25">
      <c r="A76" s="75"/>
      <c r="C76" s="6"/>
      <c r="D76" s="6"/>
      <c r="E76" s="6"/>
    </row>
    <row r="77" spans="1:5" x14ac:dyDescent="0.25">
      <c r="A77" s="75"/>
      <c r="C77" s="6"/>
      <c r="D77" s="6"/>
      <c r="E77" s="6"/>
    </row>
    <row r="78" spans="1:5" x14ac:dyDescent="0.25">
      <c r="A78" s="27"/>
      <c r="B78" s="10"/>
      <c r="C78" s="6"/>
      <c r="D78" s="6"/>
      <c r="E78" s="6"/>
    </row>
    <row r="79" spans="1:5" x14ac:dyDescent="0.25">
      <c r="A79" s="75"/>
      <c r="B79" s="18"/>
      <c r="C79" s="6"/>
      <c r="D79" s="6"/>
      <c r="E79" s="6"/>
    </row>
    <row r="80" spans="1:5" x14ac:dyDescent="0.25">
      <c r="A80" s="75"/>
      <c r="C80" s="6"/>
      <c r="D80" s="6"/>
      <c r="E80" s="6"/>
    </row>
    <row r="81" spans="1:5" x14ac:dyDescent="0.25">
      <c r="A81" s="75"/>
      <c r="C81" s="6"/>
      <c r="D81" s="6"/>
      <c r="E81" s="6"/>
    </row>
    <row r="82" spans="1:5" x14ac:dyDescent="0.25">
      <c r="A82" s="27"/>
      <c r="C82" s="6"/>
      <c r="D82" s="6"/>
      <c r="E82" s="6"/>
    </row>
    <row r="83" spans="1:5" x14ac:dyDescent="0.25">
      <c r="A83" s="75"/>
      <c r="C83" s="6"/>
      <c r="D83" s="6"/>
      <c r="E83" s="6"/>
    </row>
    <row r="84" spans="1:5" x14ac:dyDescent="0.25">
      <c r="A84" s="75"/>
      <c r="C84" s="6"/>
      <c r="D84" s="6"/>
      <c r="E84" s="6"/>
    </row>
    <row r="85" spans="1:5" x14ac:dyDescent="0.25">
      <c r="A85" s="75"/>
      <c r="C85" s="6"/>
      <c r="D85" s="6"/>
      <c r="E85" s="6"/>
    </row>
    <row r="86" spans="1:5" x14ac:dyDescent="0.25">
      <c r="A86" s="75"/>
      <c r="C86" s="6"/>
      <c r="D86" s="6"/>
      <c r="E86" s="6"/>
    </row>
    <row r="87" spans="1:5" x14ac:dyDescent="0.25">
      <c r="A87" s="75"/>
      <c r="C87" s="6"/>
      <c r="D87" s="6"/>
      <c r="E87" s="6"/>
    </row>
    <row r="88" spans="1:5" x14ac:dyDescent="0.25">
      <c r="A88" s="75"/>
      <c r="C88" s="6"/>
      <c r="D88" s="6"/>
      <c r="E88" s="6"/>
    </row>
    <row r="89" spans="1:5" x14ac:dyDescent="0.25">
      <c r="A89" s="75"/>
      <c r="C89" s="6"/>
      <c r="D89" s="6"/>
      <c r="E89" s="6"/>
    </row>
    <row r="90" spans="1:5" x14ac:dyDescent="0.25">
      <c r="A90" s="75"/>
      <c r="C90" s="6"/>
      <c r="D90" s="6"/>
      <c r="E90" s="6"/>
    </row>
    <row r="91" spans="1:5" x14ac:dyDescent="0.25">
      <c r="A91" s="75"/>
      <c r="C91" s="6"/>
      <c r="D91" s="6"/>
      <c r="E91" s="6"/>
    </row>
    <row r="92" spans="1:5" x14ac:dyDescent="0.25">
      <c r="A92" s="75"/>
      <c r="C92" s="6"/>
      <c r="D92" s="6"/>
      <c r="E92" s="6"/>
    </row>
    <row r="93" spans="1:5" x14ac:dyDescent="0.25">
      <c r="A93" s="75"/>
      <c r="B93" s="18"/>
      <c r="C93" s="6"/>
      <c r="D93" s="6"/>
      <c r="E93" s="6"/>
    </row>
    <row r="94" spans="1:5" x14ac:dyDescent="0.25">
      <c r="A94" s="75"/>
      <c r="C94" s="6"/>
      <c r="D94" s="6"/>
      <c r="E94" s="6"/>
    </row>
    <row r="95" spans="1:5" x14ac:dyDescent="0.25">
      <c r="B95" s="18"/>
      <c r="C95" s="6"/>
      <c r="D95" s="6"/>
      <c r="E95" s="6"/>
    </row>
    <row r="96" spans="1:5" x14ac:dyDescent="0.25">
      <c r="B96" s="18"/>
      <c r="C96" s="6"/>
      <c r="D96" s="6"/>
      <c r="E96" s="6"/>
    </row>
    <row r="97" spans="1:5" x14ac:dyDescent="0.25">
      <c r="B97" s="18"/>
      <c r="C97" s="6"/>
      <c r="D97" s="6"/>
      <c r="E97" s="6"/>
    </row>
    <row r="98" spans="1:5" x14ac:dyDescent="0.25">
      <c r="B98" s="18"/>
      <c r="C98" s="6"/>
      <c r="D98" s="6"/>
      <c r="E98" s="6"/>
    </row>
    <row r="99" spans="1:5" x14ac:dyDescent="0.25">
      <c r="A99" s="76"/>
      <c r="B99" s="76"/>
      <c r="C99" s="76"/>
      <c r="D99" s="76"/>
      <c r="E99" s="77"/>
    </row>
    <row r="100" spans="1:5" x14ac:dyDescent="0.25">
      <c r="A100" s="76"/>
      <c r="B100" s="76"/>
      <c r="C100" s="76"/>
      <c r="D100" s="76"/>
      <c r="E100" s="77"/>
    </row>
    <row r="101" spans="1:5" x14ac:dyDescent="0.25">
      <c r="C101" s="6"/>
      <c r="D101" s="6"/>
      <c r="E101" s="6"/>
    </row>
    <row r="102" spans="1:5" x14ac:dyDescent="0.25">
      <c r="C102" s="6"/>
      <c r="D102" s="6"/>
      <c r="E102" s="6"/>
    </row>
    <row r="103" spans="1:5" x14ac:dyDescent="0.25">
      <c r="C103" s="6"/>
      <c r="D103" s="6"/>
      <c r="E103" s="6"/>
    </row>
    <row r="104" spans="1:5" x14ac:dyDescent="0.25">
      <c r="C104" s="6"/>
      <c r="D104" s="6"/>
      <c r="E104" s="6"/>
    </row>
    <row r="105" spans="1:5" x14ac:dyDescent="0.25">
      <c r="C105" s="6"/>
      <c r="D105" s="6"/>
      <c r="E105" s="6"/>
    </row>
    <row r="106" spans="1:5" x14ac:dyDescent="0.25">
      <c r="C106" s="6"/>
      <c r="D106" s="6"/>
      <c r="E106" s="6"/>
    </row>
    <row r="107" spans="1:5" x14ac:dyDescent="0.25">
      <c r="C107" s="6"/>
      <c r="D107" s="6"/>
      <c r="E107" s="6"/>
    </row>
    <row r="108" spans="1:5" x14ac:dyDescent="0.25">
      <c r="C108" s="6"/>
      <c r="D108" s="6"/>
      <c r="E108" s="6"/>
    </row>
    <row r="109" spans="1:5" x14ac:dyDescent="0.25">
      <c r="C109" s="6"/>
      <c r="D109" s="6"/>
      <c r="E109" s="6"/>
    </row>
    <row r="110" spans="1:5" x14ac:dyDescent="0.25">
      <c r="C110" s="6"/>
      <c r="D110" s="6"/>
      <c r="E110" s="6"/>
    </row>
    <row r="111" spans="1:5" x14ac:dyDescent="0.25">
      <c r="C111" s="6"/>
      <c r="D111" s="6"/>
      <c r="E111" s="6"/>
    </row>
    <row r="112" spans="1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43:D43"/>
    <mergeCell ref="A44:D44"/>
  </mergeCells>
  <conditionalFormatting sqref="E1">
    <cfRule type="cellIs" dxfId="99" priority="4" operator="lessThan">
      <formula>0</formula>
    </cfRule>
  </conditionalFormatting>
  <conditionalFormatting sqref="E3:E42 E45:E117">
    <cfRule type="cellIs" dxfId="98" priority="2" operator="lessThan">
      <formula>0</formula>
    </cfRule>
  </conditionalFormatting>
  <conditionalFormatting sqref="E119:E163">
    <cfRule type="cellIs" dxfId="97" priority="3" operator="lessThan">
      <formula>0</formula>
    </cfRule>
  </conditionalFormatting>
  <conditionalFormatting sqref="E43:E44">
    <cfRule type="cellIs" dxfId="96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11B4-7090-4028-9E2A-37443CFAAD8E}">
  <dimension ref="A1:G163"/>
  <sheetViews>
    <sheetView zoomScale="145" zoomScaleNormal="145" workbookViewId="0">
      <pane ySplit="1" topLeftCell="A86" activePane="bottomLeft" state="frozen"/>
      <selection pane="bottomLeft" activeCell="D69" sqref="D69"/>
    </sheetView>
  </sheetViews>
  <sheetFormatPr defaultRowHeight="15" x14ac:dyDescent="0.25"/>
  <cols>
    <col min="1" max="1" width="7.85546875" style="4" bestFit="1" customWidth="1"/>
    <col min="2" max="2" width="39.5703125" style="4" bestFit="1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70" t="s">
        <v>0</v>
      </c>
      <c r="B1" s="70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46066</v>
      </c>
      <c r="B2" s="88"/>
      <c r="C2" s="88"/>
      <c r="D2" s="88"/>
      <c r="E2" s="88"/>
    </row>
    <row r="3" spans="1:6" x14ac:dyDescent="0.25">
      <c r="A3" s="27">
        <v>1</v>
      </c>
      <c r="B3" s="65" t="s">
        <v>33</v>
      </c>
      <c r="C3" s="45">
        <v>1299999</v>
      </c>
      <c r="D3" s="25">
        <v>1377500</v>
      </c>
      <c r="E3" s="31">
        <f t="shared" ref="E3:E72" si="0">D3-C3</f>
        <v>77501</v>
      </c>
    </row>
    <row r="4" spans="1:6" x14ac:dyDescent="0.25">
      <c r="A4" s="4">
        <v>2</v>
      </c>
      <c r="B4" s="65" t="s">
        <v>33</v>
      </c>
      <c r="C4" s="45">
        <v>1275000</v>
      </c>
      <c r="D4" s="25">
        <v>1377500</v>
      </c>
      <c r="E4" s="31">
        <f t="shared" si="0"/>
        <v>102500</v>
      </c>
    </row>
    <row r="5" spans="1:6" x14ac:dyDescent="0.25">
      <c r="A5" s="27">
        <v>3</v>
      </c>
      <c r="B5" s="65" t="s">
        <v>18</v>
      </c>
      <c r="C5" s="25">
        <v>1549999</v>
      </c>
      <c r="D5" s="25">
        <v>1615000</v>
      </c>
      <c r="E5" s="31">
        <f t="shared" si="0"/>
        <v>65001</v>
      </c>
      <c r="F5" s="70"/>
    </row>
    <row r="6" spans="1:6" x14ac:dyDescent="0.25">
      <c r="A6" s="4">
        <v>4</v>
      </c>
      <c r="B6" s="27" t="s">
        <v>18</v>
      </c>
      <c r="C6" s="25">
        <v>1549999</v>
      </c>
      <c r="D6" s="25">
        <v>1615000</v>
      </c>
      <c r="E6" s="31">
        <f t="shared" si="0"/>
        <v>65001</v>
      </c>
    </row>
    <row r="7" spans="1:6" x14ac:dyDescent="0.25">
      <c r="A7" s="27">
        <v>5</v>
      </c>
      <c r="B7" s="27" t="s">
        <v>27</v>
      </c>
      <c r="C7" s="25">
        <v>2010000</v>
      </c>
      <c r="D7" s="25">
        <v>2137500</v>
      </c>
      <c r="E7" s="31">
        <f t="shared" si="0"/>
        <v>127500</v>
      </c>
    </row>
    <row r="8" spans="1:6" x14ac:dyDescent="0.25">
      <c r="A8" s="18">
        <v>6</v>
      </c>
      <c r="B8" s="4" t="s">
        <v>27</v>
      </c>
      <c r="C8" s="25">
        <v>2000000</v>
      </c>
      <c r="D8" s="25">
        <v>2127050</v>
      </c>
      <c r="E8" s="31">
        <f t="shared" si="0"/>
        <v>127050</v>
      </c>
    </row>
    <row r="9" spans="1:6" x14ac:dyDescent="0.25">
      <c r="A9" s="4">
        <v>7</v>
      </c>
      <c r="B9" s="4" t="s">
        <v>104</v>
      </c>
      <c r="C9" s="25">
        <v>3500000</v>
      </c>
      <c r="D9" s="25">
        <v>3799050</v>
      </c>
      <c r="E9" s="31">
        <f t="shared" si="0"/>
        <v>299050</v>
      </c>
    </row>
    <row r="10" spans="1:6" x14ac:dyDescent="0.25">
      <c r="A10" s="27">
        <v>8</v>
      </c>
      <c r="B10" s="27" t="s">
        <v>105</v>
      </c>
      <c r="C10" s="25">
        <v>70000</v>
      </c>
      <c r="D10" s="25">
        <v>228000</v>
      </c>
      <c r="E10" s="31">
        <f t="shared" si="0"/>
        <v>158000</v>
      </c>
    </row>
    <row r="11" spans="1:6" x14ac:dyDescent="0.25">
      <c r="A11" s="18">
        <v>9</v>
      </c>
      <c r="B11" s="4" t="s">
        <v>40</v>
      </c>
      <c r="C11" s="25">
        <v>400000</v>
      </c>
      <c r="D11" s="25">
        <v>555760</v>
      </c>
      <c r="E11" s="31">
        <f t="shared" si="0"/>
        <v>155760</v>
      </c>
    </row>
    <row r="12" spans="1:6" x14ac:dyDescent="0.25">
      <c r="A12" s="4">
        <v>10</v>
      </c>
      <c r="B12" s="4" t="s">
        <v>106</v>
      </c>
      <c r="C12" s="25">
        <v>3400000</v>
      </c>
      <c r="D12" s="25">
        <v>3872200</v>
      </c>
      <c r="E12" s="31">
        <f t="shared" si="0"/>
        <v>472200</v>
      </c>
      <c r="F12" s="57"/>
    </row>
    <row r="13" spans="1:6" x14ac:dyDescent="0.25">
      <c r="A13" s="27">
        <v>11</v>
      </c>
      <c r="B13" s="27" t="s">
        <v>27</v>
      </c>
      <c r="C13" s="25">
        <v>2000000</v>
      </c>
      <c r="D13" s="25">
        <v>2127050</v>
      </c>
      <c r="E13" s="31">
        <f t="shared" si="0"/>
        <v>127050</v>
      </c>
    </row>
    <row r="14" spans="1:6" x14ac:dyDescent="0.25">
      <c r="A14" s="18">
        <v>12</v>
      </c>
      <c r="B14" s="27" t="s">
        <v>34</v>
      </c>
      <c r="C14" s="25">
        <v>2666666</v>
      </c>
      <c r="D14" s="25">
        <v>3040000</v>
      </c>
      <c r="E14" s="31">
        <f t="shared" si="0"/>
        <v>373334</v>
      </c>
    </row>
    <row r="15" spans="1:6" x14ac:dyDescent="0.25">
      <c r="A15" s="27">
        <v>13</v>
      </c>
      <c r="B15" s="75" t="s">
        <v>80</v>
      </c>
      <c r="C15" s="25">
        <v>2101105</v>
      </c>
      <c r="D15" s="25">
        <v>3029969</v>
      </c>
      <c r="E15" s="31">
        <f t="shared" si="0"/>
        <v>928864</v>
      </c>
    </row>
    <row r="16" spans="1:6" x14ac:dyDescent="0.25">
      <c r="A16" s="18">
        <v>14</v>
      </c>
      <c r="B16" s="27" t="s">
        <v>34</v>
      </c>
      <c r="C16" s="25">
        <v>3000000</v>
      </c>
      <c r="D16" s="25">
        <v>3087500</v>
      </c>
      <c r="E16" s="31">
        <f t="shared" si="0"/>
        <v>87500</v>
      </c>
    </row>
    <row r="17" spans="1:7" x14ac:dyDescent="0.25">
      <c r="A17" s="27">
        <v>15</v>
      </c>
      <c r="B17" s="27" t="s">
        <v>34</v>
      </c>
      <c r="C17" s="25">
        <v>3000000</v>
      </c>
      <c r="D17" s="25">
        <v>3087500</v>
      </c>
      <c r="E17" s="31">
        <f t="shared" si="0"/>
        <v>87500</v>
      </c>
    </row>
    <row r="18" spans="1:7" x14ac:dyDescent="0.25">
      <c r="A18" s="18">
        <v>16</v>
      </c>
      <c r="B18" s="18" t="s">
        <v>13</v>
      </c>
      <c r="C18" s="25">
        <v>2000000</v>
      </c>
      <c r="D18" s="25">
        <v>2136500</v>
      </c>
      <c r="E18" s="31">
        <f t="shared" si="0"/>
        <v>136500</v>
      </c>
    </row>
    <row r="19" spans="1:7" x14ac:dyDescent="0.25">
      <c r="A19" s="27">
        <v>17</v>
      </c>
      <c r="B19" s="4" t="s">
        <v>29</v>
      </c>
      <c r="C19" s="25">
        <v>800000</v>
      </c>
      <c r="D19" s="25">
        <v>902500</v>
      </c>
      <c r="E19" s="31">
        <f t="shared" si="0"/>
        <v>102500</v>
      </c>
    </row>
    <row r="20" spans="1:7" x14ac:dyDescent="0.25">
      <c r="A20" s="18">
        <v>18</v>
      </c>
      <c r="B20" s="27" t="s">
        <v>34</v>
      </c>
      <c r="C20" s="25">
        <v>3000000</v>
      </c>
      <c r="D20" s="25">
        <v>3087500</v>
      </c>
      <c r="E20" s="31">
        <f t="shared" si="0"/>
        <v>87500</v>
      </c>
    </row>
    <row r="21" spans="1:7" x14ac:dyDescent="0.25">
      <c r="A21" s="27">
        <v>19</v>
      </c>
      <c r="B21" s="27" t="s">
        <v>34</v>
      </c>
      <c r="C21" s="25">
        <v>3000000</v>
      </c>
      <c r="D21" s="25">
        <v>3086550</v>
      </c>
      <c r="E21" s="31">
        <f t="shared" si="0"/>
        <v>86550</v>
      </c>
    </row>
    <row r="22" spans="1:7" x14ac:dyDescent="0.25">
      <c r="A22" s="27">
        <v>20</v>
      </c>
      <c r="B22" s="27" t="s">
        <v>34</v>
      </c>
      <c r="C22" s="65">
        <v>3000000</v>
      </c>
      <c r="D22" s="25">
        <v>3087500</v>
      </c>
      <c r="E22" s="31">
        <f t="shared" si="0"/>
        <v>87500</v>
      </c>
    </row>
    <row r="23" spans="1:7" x14ac:dyDescent="0.25">
      <c r="A23" s="69">
        <v>21</v>
      </c>
      <c r="B23" s="27" t="s">
        <v>34</v>
      </c>
      <c r="C23" s="65">
        <v>3000000</v>
      </c>
      <c r="D23" s="25">
        <v>3087500</v>
      </c>
      <c r="E23" s="31">
        <f t="shared" si="0"/>
        <v>87500</v>
      </c>
    </row>
    <row r="24" spans="1:7" x14ac:dyDescent="0.25">
      <c r="A24" s="64">
        <v>22</v>
      </c>
      <c r="B24" s="64" t="s">
        <v>107</v>
      </c>
      <c r="C24" s="65">
        <v>2246220</v>
      </c>
      <c r="D24" s="66">
        <v>2699700</v>
      </c>
      <c r="E24" s="31">
        <f t="shared" si="0"/>
        <v>453480</v>
      </c>
      <c r="F24" s="12"/>
      <c r="G24" s="12"/>
    </row>
    <row r="25" spans="1:7" x14ac:dyDescent="0.25">
      <c r="A25" s="69">
        <v>23</v>
      </c>
      <c r="B25" s="64" t="s">
        <v>27</v>
      </c>
      <c r="C25" s="65">
        <v>1650000</v>
      </c>
      <c r="D25" s="66">
        <v>2127050</v>
      </c>
      <c r="E25" s="31">
        <f t="shared" si="0"/>
        <v>477050</v>
      </c>
    </row>
    <row r="26" spans="1:7" x14ac:dyDescent="0.25">
      <c r="A26" s="64">
        <v>24</v>
      </c>
      <c r="B26" s="4" t="s">
        <v>27</v>
      </c>
      <c r="C26" s="42">
        <v>1800000</v>
      </c>
      <c r="D26" s="66">
        <v>2127050</v>
      </c>
      <c r="E26" s="31">
        <f t="shared" si="0"/>
        <v>327050</v>
      </c>
    </row>
    <row r="27" spans="1:7" x14ac:dyDescent="0.25">
      <c r="A27" s="69">
        <v>25</v>
      </c>
      <c r="B27" s="18" t="s">
        <v>27</v>
      </c>
      <c r="C27" s="42">
        <v>1800000</v>
      </c>
      <c r="D27" s="66">
        <v>2127050</v>
      </c>
      <c r="E27" s="31">
        <f t="shared" si="0"/>
        <v>327050</v>
      </c>
    </row>
    <row r="28" spans="1:7" x14ac:dyDescent="0.25">
      <c r="A28" s="64">
        <v>26</v>
      </c>
      <c r="B28" s="18" t="s">
        <v>27</v>
      </c>
      <c r="C28" s="45">
        <v>1900000</v>
      </c>
      <c r="D28" s="66">
        <v>2127050</v>
      </c>
      <c r="E28" s="31">
        <f t="shared" si="0"/>
        <v>227050</v>
      </c>
    </row>
    <row r="29" spans="1:7" x14ac:dyDescent="0.25">
      <c r="A29" s="64">
        <v>27</v>
      </c>
      <c r="B29" s="18" t="s">
        <v>34</v>
      </c>
      <c r="C29" s="25">
        <v>3000000</v>
      </c>
      <c r="D29" s="45">
        <v>3106500</v>
      </c>
      <c r="E29" s="31">
        <f t="shared" si="0"/>
        <v>106500</v>
      </c>
    </row>
    <row r="30" spans="1:7" x14ac:dyDescent="0.25">
      <c r="A30" s="69">
        <v>28</v>
      </c>
      <c r="B30" s="18" t="s">
        <v>27</v>
      </c>
      <c r="C30" s="25">
        <v>2000000</v>
      </c>
      <c r="D30" s="42">
        <v>2161250</v>
      </c>
      <c r="E30" s="31">
        <f t="shared" si="0"/>
        <v>161250</v>
      </c>
    </row>
    <row r="31" spans="1:7" x14ac:dyDescent="0.25">
      <c r="A31" s="64">
        <v>29</v>
      </c>
      <c r="B31" s="27" t="s">
        <v>18</v>
      </c>
      <c r="C31" s="25">
        <v>1500000</v>
      </c>
      <c r="D31" s="42">
        <v>1653000</v>
      </c>
      <c r="E31" s="31">
        <f t="shared" si="0"/>
        <v>153000</v>
      </c>
    </row>
    <row r="32" spans="1:7" x14ac:dyDescent="0.25">
      <c r="A32" s="64">
        <v>30</v>
      </c>
      <c r="B32" s="27" t="s">
        <v>18</v>
      </c>
      <c r="C32" s="25">
        <v>1550123</v>
      </c>
      <c r="D32" s="42">
        <v>1653000</v>
      </c>
      <c r="E32" s="31">
        <f t="shared" si="0"/>
        <v>102877</v>
      </c>
    </row>
    <row r="33" spans="1:5" x14ac:dyDescent="0.25">
      <c r="A33" s="69">
        <v>31</v>
      </c>
      <c r="B33" s="27" t="s">
        <v>100</v>
      </c>
      <c r="C33" s="25">
        <v>3000000</v>
      </c>
      <c r="D33" s="25">
        <v>3325000</v>
      </c>
      <c r="E33" s="31">
        <f t="shared" si="0"/>
        <v>325000</v>
      </c>
    </row>
    <row r="34" spans="1:5" x14ac:dyDescent="0.25">
      <c r="A34" s="52">
        <v>32</v>
      </c>
      <c r="B34" s="27" t="s">
        <v>14</v>
      </c>
      <c r="C34" s="25">
        <v>1500000</v>
      </c>
      <c r="D34" s="25">
        <v>1662500</v>
      </c>
      <c r="E34" s="31">
        <f t="shared" si="0"/>
        <v>162500</v>
      </c>
    </row>
    <row r="35" spans="1:5" x14ac:dyDescent="0.25">
      <c r="A35" s="27">
        <v>33</v>
      </c>
      <c r="B35" s="18" t="s">
        <v>18</v>
      </c>
      <c r="C35" s="25">
        <v>1500000</v>
      </c>
      <c r="D35" s="45">
        <v>1638750</v>
      </c>
      <c r="E35" s="31">
        <f t="shared" si="0"/>
        <v>138750</v>
      </c>
    </row>
    <row r="36" spans="1:5" x14ac:dyDescent="0.25">
      <c r="A36" s="52">
        <v>34</v>
      </c>
      <c r="B36" s="27" t="s">
        <v>40</v>
      </c>
      <c r="C36" s="25">
        <v>500000</v>
      </c>
      <c r="D36" s="25">
        <v>617506</v>
      </c>
      <c r="E36" s="31">
        <f t="shared" si="0"/>
        <v>117506</v>
      </c>
    </row>
    <row r="37" spans="1:5" x14ac:dyDescent="0.25">
      <c r="A37" s="52">
        <v>35</v>
      </c>
      <c r="B37" s="18" t="s">
        <v>27</v>
      </c>
      <c r="C37" s="25">
        <v>2000000</v>
      </c>
      <c r="D37" s="25">
        <v>2161250</v>
      </c>
      <c r="E37" s="31">
        <f t="shared" si="0"/>
        <v>161250</v>
      </c>
    </row>
    <row r="38" spans="1:5" x14ac:dyDescent="0.25">
      <c r="A38" s="27">
        <v>36</v>
      </c>
      <c r="B38" s="18" t="s">
        <v>27</v>
      </c>
      <c r="C38" s="25">
        <v>1990000</v>
      </c>
      <c r="D38" s="55">
        <v>2261000</v>
      </c>
      <c r="E38" s="25">
        <f t="shared" si="0"/>
        <v>271000</v>
      </c>
    </row>
    <row r="39" spans="1:5" x14ac:dyDescent="0.25">
      <c r="A39" s="27">
        <v>37</v>
      </c>
      <c r="B39" s="27" t="s">
        <v>18</v>
      </c>
      <c r="C39" s="25">
        <v>1540000</v>
      </c>
      <c r="D39" s="55">
        <v>1653000</v>
      </c>
      <c r="E39" s="25">
        <f t="shared" si="0"/>
        <v>113000</v>
      </c>
    </row>
    <row r="40" spans="1:5" x14ac:dyDescent="0.25">
      <c r="A40" s="52">
        <v>38</v>
      </c>
      <c r="B40" s="27" t="s">
        <v>18</v>
      </c>
      <c r="C40" s="25">
        <v>1500000</v>
      </c>
      <c r="D40" s="55">
        <v>1653000</v>
      </c>
      <c r="E40" s="25">
        <f t="shared" si="0"/>
        <v>153000</v>
      </c>
    </row>
    <row r="41" spans="1:5" x14ac:dyDescent="0.25">
      <c r="A41" s="27">
        <v>39</v>
      </c>
      <c r="B41" s="18" t="s">
        <v>27</v>
      </c>
      <c r="C41" s="72">
        <v>1900000</v>
      </c>
      <c r="D41" s="72">
        <v>2185000</v>
      </c>
      <c r="E41" s="25">
        <f t="shared" si="0"/>
        <v>285000</v>
      </c>
    </row>
    <row r="42" spans="1:5" x14ac:dyDescent="0.25">
      <c r="A42" s="27">
        <v>40</v>
      </c>
      <c r="B42" s="18" t="s">
        <v>27</v>
      </c>
      <c r="C42" s="72">
        <v>1900000</v>
      </c>
      <c r="D42" s="72">
        <v>2137500</v>
      </c>
      <c r="E42" s="25">
        <f t="shared" si="0"/>
        <v>237500</v>
      </c>
    </row>
    <row r="43" spans="1:5" x14ac:dyDescent="0.25">
      <c r="A43" s="52">
        <v>41</v>
      </c>
      <c r="B43" s="27" t="s">
        <v>14</v>
      </c>
      <c r="C43" s="25">
        <v>1400000</v>
      </c>
      <c r="D43" s="25">
        <v>1658999</v>
      </c>
      <c r="E43" s="25">
        <f t="shared" si="0"/>
        <v>258999</v>
      </c>
    </row>
    <row r="44" spans="1:5" x14ac:dyDescent="0.25">
      <c r="A44" s="27">
        <v>42</v>
      </c>
      <c r="B44" s="65" t="s">
        <v>99</v>
      </c>
      <c r="C44" s="25">
        <v>2000000</v>
      </c>
      <c r="D44" s="25">
        <v>2180250</v>
      </c>
      <c r="E44" s="25">
        <f t="shared" si="0"/>
        <v>180250</v>
      </c>
    </row>
    <row r="45" spans="1:5" x14ac:dyDescent="0.25">
      <c r="A45" s="27">
        <v>43</v>
      </c>
      <c r="B45" s="65" t="s">
        <v>99</v>
      </c>
      <c r="C45" s="25">
        <v>2000000</v>
      </c>
      <c r="D45" s="21">
        <v>2137500</v>
      </c>
      <c r="E45" s="25">
        <f t="shared" si="0"/>
        <v>137500</v>
      </c>
    </row>
    <row r="46" spans="1:5" x14ac:dyDescent="0.25">
      <c r="A46" s="52">
        <v>44</v>
      </c>
      <c r="B46" s="27" t="s">
        <v>40</v>
      </c>
      <c r="C46" s="65">
        <v>500000</v>
      </c>
      <c r="D46" s="65">
        <v>655500</v>
      </c>
      <c r="E46" s="25">
        <f t="shared" si="0"/>
        <v>155500</v>
      </c>
    </row>
    <row r="47" spans="1:5" x14ac:dyDescent="0.25">
      <c r="A47" s="27">
        <v>45</v>
      </c>
      <c r="B47" s="65" t="s">
        <v>99</v>
      </c>
      <c r="C47" s="65">
        <v>1799999</v>
      </c>
      <c r="D47" s="65">
        <v>2137500</v>
      </c>
      <c r="E47" s="25">
        <f t="shared" si="0"/>
        <v>337501</v>
      </c>
    </row>
    <row r="48" spans="1:5" x14ac:dyDescent="0.25">
      <c r="A48" s="27">
        <v>46</v>
      </c>
      <c r="B48" s="65" t="s">
        <v>99</v>
      </c>
      <c r="C48" s="25">
        <v>2000000</v>
      </c>
      <c r="D48" s="65">
        <v>2137500</v>
      </c>
      <c r="E48" s="25">
        <f t="shared" si="0"/>
        <v>137500</v>
      </c>
    </row>
    <row r="49" spans="1:5" x14ac:dyDescent="0.25">
      <c r="A49" s="52">
        <v>47</v>
      </c>
      <c r="B49" s="4" t="s">
        <v>18</v>
      </c>
      <c r="C49" s="25">
        <v>1500000</v>
      </c>
      <c r="D49" s="6">
        <v>1615000</v>
      </c>
      <c r="E49" s="25">
        <f t="shared" si="0"/>
        <v>115000</v>
      </c>
    </row>
    <row r="50" spans="1:5" x14ac:dyDescent="0.25">
      <c r="A50" s="27">
        <v>48</v>
      </c>
      <c r="B50" s="18" t="s">
        <v>24</v>
      </c>
      <c r="C50" s="6">
        <v>3500000</v>
      </c>
      <c r="D50" s="6">
        <v>3562499</v>
      </c>
      <c r="E50" s="25">
        <f t="shared" si="0"/>
        <v>62499</v>
      </c>
    </row>
    <row r="51" spans="1:5" x14ac:dyDescent="0.25">
      <c r="A51" s="27">
        <v>49</v>
      </c>
      <c r="B51" s="18" t="s">
        <v>27</v>
      </c>
      <c r="C51" s="6">
        <v>2000000</v>
      </c>
      <c r="D51" s="6">
        <v>2280000</v>
      </c>
      <c r="E51" s="25">
        <f t="shared" si="0"/>
        <v>280000</v>
      </c>
    </row>
    <row r="52" spans="1:5" x14ac:dyDescent="0.25">
      <c r="A52" s="52">
        <v>50</v>
      </c>
      <c r="B52" s="4" t="s">
        <v>108</v>
      </c>
      <c r="C52" s="6">
        <v>1240000</v>
      </c>
      <c r="D52" s="6">
        <v>1369586</v>
      </c>
      <c r="E52" s="25">
        <f t="shared" si="0"/>
        <v>129586</v>
      </c>
    </row>
    <row r="53" spans="1:5" x14ac:dyDescent="0.25">
      <c r="A53" s="27">
        <v>51</v>
      </c>
      <c r="B53" s="26" t="s">
        <v>105</v>
      </c>
      <c r="C53" s="26">
        <v>220000</v>
      </c>
      <c r="D53" s="26">
        <v>249999</v>
      </c>
      <c r="E53" s="25">
        <f t="shared" si="0"/>
        <v>29999</v>
      </c>
    </row>
    <row r="54" spans="1:5" x14ac:dyDescent="0.25">
      <c r="A54" s="27">
        <v>52</v>
      </c>
      <c r="B54" s="26" t="s">
        <v>5</v>
      </c>
      <c r="C54" s="26">
        <v>3500000</v>
      </c>
      <c r="D54" s="26">
        <v>3705000</v>
      </c>
      <c r="E54" s="25">
        <f t="shared" si="0"/>
        <v>205000</v>
      </c>
    </row>
    <row r="55" spans="1:5" x14ac:dyDescent="0.25">
      <c r="A55" s="52">
        <v>53</v>
      </c>
      <c r="B55" s="26" t="s">
        <v>5</v>
      </c>
      <c r="C55" s="6">
        <v>3400000</v>
      </c>
      <c r="D55" s="6">
        <v>3733500</v>
      </c>
      <c r="E55" s="6">
        <f t="shared" si="0"/>
        <v>333500</v>
      </c>
    </row>
    <row r="56" spans="1:5" x14ac:dyDescent="0.25">
      <c r="A56" s="27">
        <v>54</v>
      </c>
      <c r="B56" s="4" t="s">
        <v>34</v>
      </c>
      <c r="C56" s="6">
        <v>2999999</v>
      </c>
      <c r="D56" s="6">
        <v>3229050</v>
      </c>
      <c r="E56" s="6">
        <f t="shared" si="0"/>
        <v>229051</v>
      </c>
    </row>
    <row r="57" spans="1:5" x14ac:dyDescent="0.25">
      <c r="A57" s="27">
        <v>55</v>
      </c>
      <c r="B57" s="4" t="s">
        <v>27</v>
      </c>
      <c r="C57" s="6">
        <v>1800000</v>
      </c>
      <c r="D57" s="6">
        <v>2299000</v>
      </c>
      <c r="E57" s="6">
        <f t="shared" si="0"/>
        <v>499000</v>
      </c>
    </row>
    <row r="58" spans="1:5" x14ac:dyDescent="0.25">
      <c r="A58" s="75">
        <v>56</v>
      </c>
      <c r="B58" s="4" t="s">
        <v>40</v>
      </c>
      <c r="C58" s="6">
        <v>896500</v>
      </c>
      <c r="D58" s="6">
        <v>1336873</v>
      </c>
      <c r="E58" s="6">
        <f t="shared" si="0"/>
        <v>440373</v>
      </c>
    </row>
    <row r="59" spans="1:5" x14ac:dyDescent="0.25">
      <c r="A59" s="75">
        <v>57</v>
      </c>
      <c r="B59" s="4" t="s">
        <v>99</v>
      </c>
      <c r="C59" s="6">
        <v>2000000</v>
      </c>
      <c r="D59" s="6">
        <v>2137500</v>
      </c>
      <c r="E59" s="6">
        <f t="shared" si="0"/>
        <v>137500</v>
      </c>
    </row>
    <row r="60" spans="1:5" x14ac:dyDescent="0.25">
      <c r="A60" s="27">
        <v>58</v>
      </c>
      <c r="B60" s="4" t="s">
        <v>26</v>
      </c>
      <c r="C60" s="6">
        <v>2000000</v>
      </c>
      <c r="D60" s="6">
        <v>2185000</v>
      </c>
      <c r="E60" s="6">
        <f t="shared" si="0"/>
        <v>185000</v>
      </c>
    </row>
    <row r="61" spans="1:5" x14ac:dyDescent="0.25">
      <c r="A61" s="75">
        <v>59</v>
      </c>
      <c r="B61" s="18" t="s">
        <v>27</v>
      </c>
      <c r="C61" s="6">
        <v>2000000</v>
      </c>
      <c r="D61" s="6">
        <v>2137500</v>
      </c>
      <c r="E61" s="6">
        <f t="shared" si="0"/>
        <v>137500</v>
      </c>
    </row>
    <row r="62" spans="1:5" x14ac:dyDescent="0.25">
      <c r="A62" s="75">
        <v>60</v>
      </c>
      <c r="B62" s="4" t="s">
        <v>109</v>
      </c>
      <c r="C62" s="6">
        <v>260000</v>
      </c>
      <c r="D62" s="6">
        <v>322050</v>
      </c>
      <c r="E62" s="6">
        <f t="shared" si="0"/>
        <v>62050</v>
      </c>
    </row>
    <row r="63" spans="1:5" x14ac:dyDescent="0.25">
      <c r="A63" s="27">
        <v>61</v>
      </c>
      <c r="B63" s="4" t="s">
        <v>34</v>
      </c>
      <c r="C63" s="6">
        <v>3000000</v>
      </c>
      <c r="D63" s="6">
        <v>3142600</v>
      </c>
      <c r="E63" s="6">
        <f t="shared" si="0"/>
        <v>142600</v>
      </c>
    </row>
    <row r="64" spans="1:5" x14ac:dyDescent="0.25">
      <c r="A64" s="75">
        <v>62</v>
      </c>
      <c r="B64" s="4" t="s">
        <v>26</v>
      </c>
      <c r="C64" s="6">
        <v>1800000</v>
      </c>
      <c r="D64" s="6">
        <v>2185000</v>
      </c>
      <c r="E64" s="6">
        <f t="shared" si="0"/>
        <v>385000</v>
      </c>
    </row>
    <row r="65" spans="1:5" x14ac:dyDescent="0.25">
      <c r="A65" s="75">
        <v>63</v>
      </c>
      <c r="B65" s="4" t="s">
        <v>34</v>
      </c>
      <c r="C65" s="6">
        <v>3000000</v>
      </c>
      <c r="D65" s="6">
        <v>3143550</v>
      </c>
      <c r="E65" s="6">
        <f t="shared" si="0"/>
        <v>143550</v>
      </c>
    </row>
    <row r="66" spans="1:5" x14ac:dyDescent="0.25">
      <c r="A66" s="27">
        <v>64</v>
      </c>
      <c r="B66" s="4" t="s">
        <v>99</v>
      </c>
      <c r="C66" s="6">
        <v>1900000</v>
      </c>
      <c r="D66" s="6">
        <v>2268505</v>
      </c>
      <c r="E66" s="6">
        <f t="shared" si="0"/>
        <v>368505</v>
      </c>
    </row>
    <row r="67" spans="1:5" x14ac:dyDescent="0.25">
      <c r="A67" s="75">
        <v>65</v>
      </c>
      <c r="B67" s="4" t="s">
        <v>24</v>
      </c>
      <c r="C67" s="6">
        <v>3399999</v>
      </c>
      <c r="D67" s="6">
        <v>3548250</v>
      </c>
      <c r="E67" s="6">
        <f t="shared" si="0"/>
        <v>148251</v>
      </c>
    </row>
    <row r="68" spans="1:5" x14ac:dyDescent="0.25">
      <c r="A68" s="75">
        <v>66</v>
      </c>
      <c r="B68" s="4" t="s">
        <v>24</v>
      </c>
      <c r="C68" s="6">
        <v>3500000</v>
      </c>
      <c r="D68" s="6">
        <v>3467500</v>
      </c>
      <c r="E68" s="6">
        <f t="shared" si="0"/>
        <v>-32500</v>
      </c>
    </row>
    <row r="69" spans="1:5" x14ac:dyDescent="0.25">
      <c r="A69" s="75">
        <v>67</v>
      </c>
      <c r="B69" s="18" t="s">
        <v>27</v>
      </c>
      <c r="C69" s="6">
        <v>2000000</v>
      </c>
      <c r="D69" s="6">
        <v>2303750</v>
      </c>
      <c r="E69" s="6">
        <f t="shared" si="0"/>
        <v>303750</v>
      </c>
    </row>
    <row r="70" spans="1:5" x14ac:dyDescent="0.25">
      <c r="A70" s="27">
        <v>68</v>
      </c>
      <c r="B70" s="4" t="s">
        <v>27</v>
      </c>
      <c r="C70" s="6">
        <v>1800000</v>
      </c>
      <c r="D70" s="6">
        <v>2185000</v>
      </c>
      <c r="E70" s="6">
        <f t="shared" si="0"/>
        <v>385000</v>
      </c>
    </row>
    <row r="71" spans="1:5" x14ac:dyDescent="0.25">
      <c r="A71" s="75">
        <v>69</v>
      </c>
      <c r="B71" s="4" t="s">
        <v>27</v>
      </c>
      <c r="C71" s="6">
        <v>1900000</v>
      </c>
      <c r="D71" s="6">
        <v>2185000</v>
      </c>
      <c r="E71" s="6">
        <f t="shared" si="0"/>
        <v>285000</v>
      </c>
    </row>
    <row r="72" spans="1:5" x14ac:dyDescent="0.25">
      <c r="A72" s="75">
        <v>70</v>
      </c>
      <c r="B72" s="10" t="s">
        <v>18</v>
      </c>
      <c r="C72" s="6">
        <v>1499999</v>
      </c>
      <c r="D72" s="6">
        <v>1615000</v>
      </c>
      <c r="E72" s="6">
        <f t="shared" si="0"/>
        <v>115001</v>
      </c>
    </row>
    <row r="73" spans="1:5" x14ac:dyDescent="0.25">
      <c r="A73" s="75">
        <v>71</v>
      </c>
      <c r="B73" s="26" t="s">
        <v>13</v>
      </c>
      <c r="C73" s="26">
        <v>2005000</v>
      </c>
      <c r="D73" s="26">
        <v>2204000</v>
      </c>
      <c r="E73" s="6">
        <f t="shared" ref="E73:E98" si="1">D73-C73</f>
        <v>199000</v>
      </c>
    </row>
    <row r="74" spans="1:5" x14ac:dyDescent="0.25">
      <c r="A74" s="27">
        <v>72</v>
      </c>
      <c r="B74" s="26" t="s">
        <v>13</v>
      </c>
      <c r="C74" s="26">
        <v>2000000</v>
      </c>
      <c r="D74" s="26">
        <v>2204000</v>
      </c>
      <c r="E74" s="6">
        <f t="shared" si="1"/>
        <v>204000</v>
      </c>
    </row>
    <row r="75" spans="1:5" x14ac:dyDescent="0.25">
      <c r="A75" s="75">
        <v>73</v>
      </c>
      <c r="B75" s="4" t="s">
        <v>99</v>
      </c>
      <c r="C75" s="6">
        <v>2000000</v>
      </c>
      <c r="D75" s="6">
        <v>2272400</v>
      </c>
      <c r="E75" s="6">
        <f t="shared" si="1"/>
        <v>272400</v>
      </c>
    </row>
    <row r="76" spans="1:5" x14ac:dyDescent="0.25">
      <c r="A76" s="75">
        <v>74</v>
      </c>
      <c r="B76" s="4" t="s">
        <v>99</v>
      </c>
      <c r="C76" s="6">
        <v>2000000</v>
      </c>
      <c r="D76" s="6">
        <v>2272400</v>
      </c>
      <c r="E76" s="6">
        <f t="shared" si="1"/>
        <v>272400</v>
      </c>
    </row>
    <row r="77" spans="1:5" x14ac:dyDescent="0.25">
      <c r="A77" s="75">
        <v>75</v>
      </c>
      <c r="B77" s="4" t="s">
        <v>99</v>
      </c>
      <c r="C77" s="6">
        <v>2000000</v>
      </c>
      <c r="D77" s="6">
        <v>2272400</v>
      </c>
      <c r="E77" s="6">
        <f t="shared" si="1"/>
        <v>272400</v>
      </c>
    </row>
    <row r="78" spans="1:5" x14ac:dyDescent="0.25">
      <c r="A78" s="27">
        <v>76</v>
      </c>
      <c r="B78" s="10" t="s">
        <v>18</v>
      </c>
      <c r="C78" s="6">
        <v>1550000</v>
      </c>
      <c r="D78" s="6">
        <v>1615000</v>
      </c>
      <c r="E78" s="6">
        <f t="shared" si="1"/>
        <v>65000</v>
      </c>
    </row>
    <row r="79" spans="1:5" x14ac:dyDescent="0.25">
      <c r="A79" s="75">
        <v>77</v>
      </c>
      <c r="B79" s="18" t="s">
        <v>27</v>
      </c>
      <c r="C79" s="6">
        <v>2000000</v>
      </c>
      <c r="D79" s="6">
        <v>2135600</v>
      </c>
      <c r="E79" s="6">
        <f t="shared" si="1"/>
        <v>135600</v>
      </c>
    </row>
    <row r="80" spans="1:5" x14ac:dyDescent="0.25">
      <c r="A80" s="75">
        <v>78</v>
      </c>
      <c r="B80" s="4" t="s">
        <v>27</v>
      </c>
      <c r="C80" s="6">
        <v>2000000</v>
      </c>
      <c r="D80" s="6">
        <v>2136550</v>
      </c>
      <c r="E80" s="6">
        <f t="shared" si="1"/>
        <v>136550</v>
      </c>
    </row>
    <row r="81" spans="1:5" x14ac:dyDescent="0.25">
      <c r="A81" s="75">
        <v>79</v>
      </c>
      <c r="B81" s="4" t="s">
        <v>27</v>
      </c>
      <c r="C81" s="6">
        <v>1850000</v>
      </c>
      <c r="D81" s="6">
        <v>2136550</v>
      </c>
      <c r="E81" s="6">
        <f t="shared" si="1"/>
        <v>286550</v>
      </c>
    </row>
    <row r="82" spans="1:5" x14ac:dyDescent="0.25">
      <c r="A82" s="27">
        <v>80</v>
      </c>
      <c r="B82" s="4" t="s">
        <v>99</v>
      </c>
      <c r="C82" s="6">
        <v>1888888</v>
      </c>
      <c r="D82" s="6">
        <v>2185000</v>
      </c>
      <c r="E82" s="6">
        <f t="shared" si="1"/>
        <v>296112</v>
      </c>
    </row>
    <row r="83" spans="1:5" x14ac:dyDescent="0.25">
      <c r="A83" s="75">
        <v>81</v>
      </c>
      <c r="B83" s="4" t="s">
        <v>99</v>
      </c>
      <c r="C83" s="6">
        <v>1999999</v>
      </c>
      <c r="D83" s="6">
        <v>2232500</v>
      </c>
      <c r="E83" s="6">
        <f t="shared" si="1"/>
        <v>232501</v>
      </c>
    </row>
    <row r="84" spans="1:5" x14ac:dyDescent="0.25">
      <c r="A84" s="75">
        <v>82</v>
      </c>
      <c r="B84" s="4" t="s">
        <v>18</v>
      </c>
      <c r="C84" s="6">
        <v>1550000</v>
      </c>
      <c r="D84" s="6">
        <v>1567500</v>
      </c>
      <c r="E84" s="6">
        <f t="shared" si="1"/>
        <v>17500</v>
      </c>
    </row>
    <row r="85" spans="1:5" x14ac:dyDescent="0.25">
      <c r="A85" s="75">
        <v>83</v>
      </c>
      <c r="B85" s="4" t="s">
        <v>13</v>
      </c>
      <c r="C85" s="6">
        <v>1999999</v>
      </c>
      <c r="D85" s="6">
        <v>2224900</v>
      </c>
      <c r="E85" s="6">
        <f t="shared" si="1"/>
        <v>224901</v>
      </c>
    </row>
    <row r="86" spans="1:5" x14ac:dyDescent="0.25">
      <c r="A86" s="75">
        <v>84</v>
      </c>
      <c r="B86" s="4" t="s">
        <v>99</v>
      </c>
      <c r="C86" s="6">
        <v>2000000</v>
      </c>
      <c r="D86" s="6">
        <v>2241999</v>
      </c>
      <c r="E86" s="6">
        <f t="shared" si="1"/>
        <v>241999</v>
      </c>
    </row>
    <row r="87" spans="1:5" x14ac:dyDescent="0.25">
      <c r="A87" s="75">
        <v>85</v>
      </c>
      <c r="B87" s="4" t="s">
        <v>104</v>
      </c>
      <c r="C87" s="6">
        <v>3500000</v>
      </c>
      <c r="D87" s="6">
        <v>3705000</v>
      </c>
      <c r="E87" s="6">
        <f t="shared" si="1"/>
        <v>205000</v>
      </c>
    </row>
    <row r="88" spans="1:5" x14ac:dyDescent="0.25">
      <c r="A88" s="75">
        <v>86</v>
      </c>
      <c r="B88" s="4" t="s">
        <v>34</v>
      </c>
      <c r="C88" s="6">
        <v>3000000</v>
      </c>
      <c r="D88" s="6">
        <v>3135000</v>
      </c>
      <c r="E88" s="6">
        <f t="shared" si="1"/>
        <v>135000</v>
      </c>
    </row>
    <row r="89" spans="1:5" x14ac:dyDescent="0.25">
      <c r="A89" s="75">
        <v>87</v>
      </c>
      <c r="B89" s="4" t="s">
        <v>34</v>
      </c>
      <c r="C89" s="6">
        <v>3000000</v>
      </c>
      <c r="D89" s="6">
        <v>3135000</v>
      </c>
      <c r="E89" s="6">
        <f t="shared" si="1"/>
        <v>135000</v>
      </c>
    </row>
    <row r="90" spans="1:5" x14ac:dyDescent="0.25">
      <c r="A90" s="75">
        <v>88</v>
      </c>
      <c r="B90" s="4" t="s">
        <v>34</v>
      </c>
      <c r="C90" s="6">
        <v>3000000</v>
      </c>
      <c r="D90" s="6">
        <v>3229999</v>
      </c>
      <c r="E90" s="6">
        <f t="shared" si="1"/>
        <v>229999</v>
      </c>
    </row>
    <row r="91" spans="1:5" x14ac:dyDescent="0.25">
      <c r="A91" s="75">
        <v>89</v>
      </c>
      <c r="B91" s="4" t="s">
        <v>34</v>
      </c>
      <c r="C91" s="6">
        <v>3000000</v>
      </c>
      <c r="D91" s="6">
        <v>3229999</v>
      </c>
      <c r="E91" s="6">
        <f t="shared" si="1"/>
        <v>229999</v>
      </c>
    </row>
    <row r="92" spans="1:5" x14ac:dyDescent="0.25">
      <c r="A92" s="75">
        <v>90</v>
      </c>
      <c r="B92" s="4" t="s">
        <v>34</v>
      </c>
      <c r="C92" s="6">
        <v>3000000</v>
      </c>
      <c r="D92" s="6">
        <v>3229999</v>
      </c>
      <c r="E92" s="6">
        <f t="shared" si="1"/>
        <v>229999</v>
      </c>
    </row>
    <row r="93" spans="1:5" x14ac:dyDescent="0.25">
      <c r="A93" s="75">
        <v>91</v>
      </c>
      <c r="B93" s="18" t="s">
        <v>27</v>
      </c>
      <c r="C93" s="6">
        <v>2000000</v>
      </c>
      <c r="D93" s="6">
        <v>2137500</v>
      </c>
      <c r="E93" s="6">
        <f t="shared" si="1"/>
        <v>137500</v>
      </c>
    </row>
    <row r="94" spans="1:5" x14ac:dyDescent="0.25">
      <c r="A94" s="75">
        <v>92</v>
      </c>
      <c r="B94" s="4" t="s">
        <v>109</v>
      </c>
      <c r="C94" s="6">
        <v>250000</v>
      </c>
      <c r="D94" s="6">
        <v>322999</v>
      </c>
      <c r="E94" s="6">
        <f t="shared" si="1"/>
        <v>72999</v>
      </c>
    </row>
    <row r="95" spans="1:5" x14ac:dyDescent="0.25">
      <c r="A95" s="75">
        <v>93</v>
      </c>
      <c r="B95" s="18" t="s">
        <v>27</v>
      </c>
      <c r="C95" s="6">
        <v>1900000</v>
      </c>
      <c r="D95" s="6">
        <v>2136550</v>
      </c>
      <c r="E95" s="6">
        <f t="shared" si="1"/>
        <v>236550</v>
      </c>
    </row>
    <row r="96" spans="1:5" x14ac:dyDescent="0.25">
      <c r="A96" s="75">
        <v>94</v>
      </c>
      <c r="B96" s="18" t="s">
        <v>27</v>
      </c>
      <c r="C96" s="6">
        <v>2000000</v>
      </c>
      <c r="D96" s="6">
        <v>2137500</v>
      </c>
      <c r="E96" s="6">
        <f t="shared" si="1"/>
        <v>137500</v>
      </c>
    </row>
    <row r="97" spans="1:5" x14ac:dyDescent="0.25">
      <c r="A97" s="75">
        <v>95</v>
      </c>
      <c r="B97" s="18" t="s">
        <v>27</v>
      </c>
      <c r="C97" s="6">
        <v>2000000</v>
      </c>
      <c r="D97" s="6">
        <v>2090000</v>
      </c>
      <c r="E97" s="6">
        <f t="shared" si="1"/>
        <v>90000</v>
      </c>
    </row>
    <row r="98" spans="1:5" x14ac:dyDescent="0.25">
      <c r="A98" s="75">
        <v>96</v>
      </c>
      <c r="B98" s="18" t="s">
        <v>27</v>
      </c>
      <c r="C98" s="6">
        <v>2000000</v>
      </c>
      <c r="D98" s="6">
        <v>2090000</v>
      </c>
      <c r="E98" s="6">
        <f t="shared" si="1"/>
        <v>90000</v>
      </c>
    </row>
    <row r="99" spans="1:5" x14ac:dyDescent="0.25">
      <c r="A99" s="89" t="s">
        <v>8</v>
      </c>
      <c r="B99" s="89"/>
      <c r="C99" s="89"/>
      <c r="D99" s="89"/>
      <c r="E99" s="8">
        <v>490205</v>
      </c>
    </row>
    <row r="100" spans="1:5" x14ac:dyDescent="0.25">
      <c r="A100" s="89" t="s">
        <v>9</v>
      </c>
      <c r="B100" s="89"/>
      <c r="C100" s="89"/>
      <c r="D100" s="89"/>
      <c r="E100" s="8">
        <f>SUM(E3:E98)-E99</f>
        <v>18735393</v>
      </c>
    </row>
    <row r="101" spans="1:5" x14ac:dyDescent="0.25">
      <c r="C101" s="6"/>
      <c r="D101" s="6"/>
      <c r="E101" s="6"/>
    </row>
    <row r="102" spans="1:5" x14ac:dyDescent="0.25">
      <c r="C102" s="6"/>
      <c r="D102" s="6"/>
      <c r="E102" s="6"/>
    </row>
    <row r="103" spans="1:5" x14ac:dyDescent="0.25">
      <c r="C103" s="6"/>
      <c r="D103" s="6"/>
      <c r="E103" s="6"/>
    </row>
    <row r="104" spans="1:5" x14ac:dyDescent="0.25">
      <c r="C104" s="6"/>
      <c r="D104" s="6"/>
      <c r="E104" s="6"/>
    </row>
    <row r="105" spans="1:5" x14ac:dyDescent="0.25">
      <c r="C105" s="6"/>
      <c r="D105" s="6"/>
      <c r="E105" s="6"/>
    </row>
    <row r="106" spans="1:5" x14ac:dyDescent="0.25">
      <c r="C106" s="6"/>
      <c r="D106" s="6"/>
      <c r="E106" s="6"/>
    </row>
    <row r="107" spans="1:5" x14ac:dyDescent="0.25">
      <c r="C107" s="6"/>
      <c r="D107" s="6"/>
      <c r="E107" s="6"/>
    </row>
    <row r="108" spans="1:5" x14ac:dyDescent="0.25">
      <c r="C108" s="6"/>
      <c r="D108" s="6"/>
      <c r="E108" s="6"/>
    </row>
    <row r="109" spans="1:5" x14ac:dyDescent="0.25">
      <c r="C109" s="6"/>
      <c r="D109" s="6"/>
      <c r="E109" s="6"/>
    </row>
    <row r="110" spans="1:5" x14ac:dyDescent="0.25">
      <c r="C110" s="6"/>
      <c r="D110" s="6"/>
      <c r="E110" s="6"/>
    </row>
    <row r="111" spans="1:5" x14ac:dyDescent="0.25">
      <c r="C111" s="6"/>
      <c r="D111" s="6"/>
      <c r="E111" s="6"/>
    </row>
    <row r="112" spans="1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99:D99"/>
    <mergeCell ref="A100:D100"/>
  </mergeCells>
  <conditionalFormatting sqref="E1">
    <cfRule type="cellIs" dxfId="95" priority="4" operator="lessThan">
      <formula>0</formula>
    </cfRule>
  </conditionalFormatting>
  <conditionalFormatting sqref="E3:E117">
    <cfRule type="cellIs" dxfId="94" priority="1" operator="lessThan">
      <formula>0</formula>
    </cfRule>
  </conditionalFormatting>
  <conditionalFormatting sqref="E119:E163">
    <cfRule type="cellIs" dxfId="93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555ED-AE03-4FF5-9840-8A32DD556928}">
  <dimension ref="A1:F159"/>
  <sheetViews>
    <sheetView zoomScale="145" zoomScaleNormal="145" workbookViewId="0">
      <pane ySplit="1" topLeftCell="A2" activePane="bottomLeft" state="frozen"/>
      <selection pane="bottomLeft" activeCell="E93" sqref="A92:E93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68" t="s">
        <v>0</v>
      </c>
      <c r="B1" s="68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46065</v>
      </c>
      <c r="B2" s="88"/>
      <c r="C2" s="88"/>
      <c r="D2" s="88"/>
      <c r="E2" s="88"/>
    </row>
    <row r="3" spans="1:6" x14ac:dyDescent="0.25">
      <c r="A3" s="27">
        <v>1</v>
      </c>
      <c r="B3" s="65" t="s">
        <v>74</v>
      </c>
      <c r="C3" s="45">
        <v>222999</v>
      </c>
      <c r="D3" s="25">
        <v>351507</v>
      </c>
      <c r="E3" s="31">
        <f t="shared" ref="E3:E66" si="0">D3-C3</f>
        <v>128508</v>
      </c>
    </row>
    <row r="4" spans="1:6" x14ac:dyDescent="0.25">
      <c r="A4" s="4">
        <v>2</v>
      </c>
      <c r="B4" s="27" t="s">
        <v>63</v>
      </c>
      <c r="C4" s="45">
        <v>1176999</v>
      </c>
      <c r="D4" s="25">
        <v>1377507</v>
      </c>
      <c r="E4" s="31">
        <f t="shared" si="0"/>
        <v>200508</v>
      </c>
    </row>
    <row r="5" spans="1:6" x14ac:dyDescent="0.25">
      <c r="A5" s="27">
        <v>3</v>
      </c>
      <c r="B5" s="27" t="s">
        <v>34</v>
      </c>
      <c r="C5" s="25">
        <v>3000000</v>
      </c>
      <c r="D5" s="25">
        <v>3277500</v>
      </c>
      <c r="E5" s="31">
        <f t="shared" si="0"/>
        <v>277500</v>
      </c>
      <c r="F5" s="68"/>
    </row>
    <row r="6" spans="1:6" x14ac:dyDescent="0.25">
      <c r="A6" s="4">
        <v>4</v>
      </c>
      <c r="B6" s="27" t="s">
        <v>18</v>
      </c>
      <c r="C6" s="25">
        <v>1600500</v>
      </c>
      <c r="D6" s="25">
        <v>1738500</v>
      </c>
      <c r="E6" s="31">
        <f t="shared" si="0"/>
        <v>138000</v>
      </c>
    </row>
    <row r="7" spans="1:6" x14ac:dyDescent="0.25">
      <c r="A7" s="27">
        <v>5</v>
      </c>
      <c r="B7" s="27" t="s">
        <v>5</v>
      </c>
      <c r="C7" s="25">
        <v>3700000</v>
      </c>
      <c r="D7" s="25">
        <v>3799998</v>
      </c>
      <c r="E7" s="31">
        <f t="shared" si="0"/>
        <v>99998</v>
      </c>
    </row>
    <row r="8" spans="1:6" x14ac:dyDescent="0.25">
      <c r="A8" s="27">
        <v>6</v>
      </c>
      <c r="B8" s="4" t="s">
        <v>100</v>
      </c>
      <c r="C8" s="25">
        <v>12300000</v>
      </c>
      <c r="D8" s="25">
        <v>12825000</v>
      </c>
      <c r="E8" s="31">
        <f t="shared" si="0"/>
        <v>525000</v>
      </c>
    </row>
    <row r="9" spans="1:6" x14ac:dyDescent="0.25">
      <c r="A9" s="4">
        <v>7</v>
      </c>
      <c r="B9" s="4" t="s">
        <v>100</v>
      </c>
      <c r="C9" s="25">
        <v>12500000</v>
      </c>
      <c r="D9" s="25">
        <v>12825000</v>
      </c>
      <c r="E9" s="31">
        <f t="shared" si="0"/>
        <v>325000</v>
      </c>
    </row>
    <row r="10" spans="1:6" x14ac:dyDescent="0.25">
      <c r="A10" s="27">
        <v>8</v>
      </c>
      <c r="B10" s="27" t="s">
        <v>99</v>
      </c>
      <c r="C10" s="25">
        <v>1900000</v>
      </c>
      <c r="D10" s="25">
        <v>2085249</v>
      </c>
      <c r="E10" s="31">
        <f t="shared" si="0"/>
        <v>185249</v>
      </c>
    </row>
    <row r="11" spans="1:6" x14ac:dyDescent="0.25">
      <c r="A11" s="4">
        <v>9</v>
      </c>
      <c r="B11" s="4" t="s">
        <v>101</v>
      </c>
      <c r="C11" s="25">
        <v>424999</v>
      </c>
      <c r="D11" s="25">
        <v>589000</v>
      </c>
      <c r="E11" s="31">
        <f t="shared" si="0"/>
        <v>164001</v>
      </c>
    </row>
    <row r="12" spans="1:6" x14ac:dyDescent="0.25">
      <c r="A12" s="27">
        <v>10</v>
      </c>
      <c r="B12" s="4" t="s">
        <v>31</v>
      </c>
      <c r="C12" s="25">
        <v>1100000</v>
      </c>
      <c r="D12" s="25">
        <v>1420249</v>
      </c>
      <c r="E12" s="31">
        <f t="shared" si="0"/>
        <v>320249</v>
      </c>
      <c r="F12" s="57"/>
    </row>
    <row r="13" spans="1:6" x14ac:dyDescent="0.25">
      <c r="A13" s="27">
        <v>11</v>
      </c>
      <c r="B13" s="71" t="s">
        <v>102</v>
      </c>
      <c r="C13" s="25">
        <v>650005</v>
      </c>
      <c r="D13" s="25">
        <v>1330000</v>
      </c>
      <c r="E13" s="31">
        <f t="shared" si="0"/>
        <v>679995</v>
      </c>
    </row>
    <row r="14" spans="1:6" x14ac:dyDescent="0.25">
      <c r="A14" s="4">
        <v>12</v>
      </c>
      <c r="B14" s="27" t="s">
        <v>99</v>
      </c>
      <c r="C14" s="25">
        <v>1955000</v>
      </c>
      <c r="D14" s="25">
        <v>2085249</v>
      </c>
      <c r="E14" s="31">
        <f t="shared" si="0"/>
        <v>130249</v>
      </c>
    </row>
    <row r="15" spans="1:6" x14ac:dyDescent="0.25">
      <c r="A15" s="27">
        <v>13</v>
      </c>
      <c r="B15" s="4" t="s">
        <v>99</v>
      </c>
      <c r="C15" s="25">
        <v>1950000</v>
      </c>
      <c r="D15" s="25">
        <v>2088100</v>
      </c>
      <c r="E15" s="31">
        <f t="shared" si="0"/>
        <v>138100</v>
      </c>
    </row>
    <row r="16" spans="1:6" x14ac:dyDescent="0.25">
      <c r="A16" s="4">
        <v>14</v>
      </c>
      <c r="B16" s="27" t="s">
        <v>99</v>
      </c>
      <c r="C16" s="25">
        <v>2000000</v>
      </c>
      <c r="D16" s="25">
        <v>2088943</v>
      </c>
      <c r="E16" s="31">
        <f t="shared" si="0"/>
        <v>88943</v>
      </c>
    </row>
    <row r="17" spans="1:5" x14ac:dyDescent="0.25">
      <c r="A17" s="27">
        <v>15</v>
      </c>
      <c r="B17" s="27" t="s">
        <v>43</v>
      </c>
      <c r="C17" s="25">
        <v>699999</v>
      </c>
      <c r="D17" s="25">
        <v>812777</v>
      </c>
      <c r="E17" s="31">
        <f t="shared" si="0"/>
        <v>112778</v>
      </c>
    </row>
    <row r="18" spans="1:5" x14ac:dyDescent="0.25">
      <c r="A18" s="27">
        <v>16</v>
      </c>
      <c r="B18" s="18" t="s">
        <v>43</v>
      </c>
      <c r="C18" s="25">
        <v>700000</v>
      </c>
      <c r="D18" s="25">
        <v>812777</v>
      </c>
      <c r="E18" s="31">
        <f t="shared" si="0"/>
        <v>112777</v>
      </c>
    </row>
    <row r="19" spans="1:5" x14ac:dyDescent="0.25">
      <c r="A19" s="4">
        <v>17</v>
      </c>
      <c r="B19" s="4" t="s">
        <v>27</v>
      </c>
      <c r="C19" s="25">
        <v>1850001</v>
      </c>
      <c r="D19" s="25">
        <v>2232500</v>
      </c>
      <c r="E19" s="31">
        <f t="shared" si="0"/>
        <v>382499</v>
      </c>
    </row>
    <row r="20" spans="1:5" x14ac:dyDescent="0.25">
      <c r="A20" s="27">
        <v>18</v>
      </c>
      <c r="B20" s="27" t="s">
        <v>27</v>
      </c>
      <c r="C20" s="25">
        <v>1999999</v>
      </c>
      <c r="D20" s="25">
        <v>2194500</v>
      </c>
      <c r="E20" s="31">
        <f t="shared" si="0"/>
        <v>194501</v>
      </c>
    </row>
    <row r="21" spans="1:5" x14ac:dyDescent="0.25">
      <c r="A21" s="4">
        <v>19</v>
      </c>
      <c r="B21" s="18" t="s">
        <v>27</v>
      </c>
      <c r="C21" s="25">
        <v>2000000</v>
      </c>
      <c r="D21" s="25">
        <v>2185000</v>
      </c>
      <c r="E21" s="31">
        <f t="shared" si="0"/>
        <v>185000</v>
      </c>
    </row>
    <row r="22" spans="1:5" x14ac:dyDescent="0.25">
      <c r="A22" s="27">
        <v>20</v>
      </c>
      <c r="B22" s="72" t="s">
        <v>40</v>
      </c>
      <c r="C22" s="65">
        <v>2651330</v>
      </c>
      <c r="D22" s="65">
        <v>3591650</v>
      </c>
      <c r="E22" s="31">
        <f t="shared" si="0"/>
        <v>940320</v>
      </c>
    </row>
    <row r="23" spans="1:5" x14ac:dyDescent="0.25">
      <c r="A23" s="27">
        <v>21</v>
      </c>
      <c r="B23" s="27" t="s">
        <v>99</v>
      </c>
      <c r="C23" s="65">
        <v>2000000</v>
      </c>
      <c r="D23" s="65">
        <v>2088943</v>
      </c>
      <c r="E23" s="31">
        <f t="shared" si="0"/>
        <v>88943</v>
      </c>
    </row>
    <row r="24" spans="1:5" x14ac:dyDescent="0.25">
      <c r="A24" s="4">
        <v>22</v>
      </c>
      <c r="B24" s="64" t="s">
        <v>34</v>
      </c>
      <c r="C24" s="65">
        <v>3000000</v>
      </c>
      <c r="D24" s="66">
        <v>3229050</v>
      </c>
      <c r="E24" s="31">
        <f t="shared" si="0"/>
        <v>229050</v>
      </c>
    </row>
    <row r="25" spans="1:5" x14ac:dyDescent="0.25">
      <c r="A25" s="27">
        <v>23</v>
      </c>
      <c r="B25" s="18" t="s">
        <v>27</v>
      </c>
      <c r="C25" s="65">
        <v>2000000</v>
      </c>
      <c r="D25" s="66">
        <v>2280000</v>
      </c>
      <c r="E25" s="31">
        <f t="shared" si="0"/>
        <v>280000</v>
      </c>
    </row>
    <row r="26" spans="1:5" x14ac:dyDescent="0.25">
      <c r="A26" s="4">
        <v>24</v>
      </c>
      <c r="B26" s="18" t="s">
        <v>27</v>
      </c>
      <c r="C26" s="65">
        <v>2000000</v>
      </c>
      <c r="D26" s="66">
        <v>2322221</v>
      </c>
      <c r="E26" s="31">
        <f t="shared" si="0"/>
        <v>322221</v>
      </c>
    </row>
    <row r="27" spans="1:5" x14ac:dyDescent="0.25">
      <c r="A27" s="27">
        <v>25</v>
      </c>
      <c r="B27" s="18" t="s">
        <v>5</v>
      </c>
      <c r="C27" s="45">
        <v>3500000</v>
      </c>
      <c r="D27" s="45">
        <v>3705000</v>
      </c>
      <c r="E27" s="31">
        <f t="shared" si="0"/>
        <v>205000</v>
      </c>
    </row>
    <row r="28" spans="1:5" x14ac:dyDescent="0.25">
      <c r="A28" s="27">
        <v>26</v>
      </c>
      <c r="B28" s="18" t="s">
        <v>5</v>
      </c>
      <c r="C28" s="25">
        <v>3200000</v>
      </c>
      <c r="D28" s="45">
        <v>3703943</v>
      </c>
      <c r="E28" s="31">
        <f t="shared" si="0"/>
        <v>503943</v>
      </c>
    </row>
    <row r="29" spans="1:5" x14ac:dyDescent="0.25">
      <c r="A29" s="4">
        <v>27</v>
      </c>
      <c r="B29" s="18" t="s">
        <v>27</v>
      </c>
      <c r="C29" s="25">
        <v>2000000</v>
      </c>
      <c r="D29" s="42">
        <v>2280000</v>
      </c>
      <c r="E29" s="31">
        <f t="shared" si="0"/>
        <v>280000</v>
      </c>
    </row>
    <row r="30" spans="1:5" x14ac:dyDescent="0.25">
      <c r="A30" s="27">
        <v>28</v>
      </c>
      <c r="B30" s="27" t="s">
        <v>26</v>
      </c>
      <c r="C30" s="25">
        <v>2000000</v>
      </c>
      <c r="D30" s="25">
        <v>2042616</v>
      </c>
      <c r="E30" s="31">
        <f t="shared" si="0"/>
        <v>42616</v>
      </c>
    </row>
    <row r="31" spans="1:5" x14ac:dyDescent="0.25">
      <c r="A31" s="4">
        <v>29</v>
      </c>
      <c r="B31" s="18" t="s">
        <v>27</v>
      </c>
      <c r="C31" s="25">
        <v>1800000</v>
      </c>
      <c r="D31" s="25">
        <v>2375000</v>
      </c>
      <c r="E31" s="31">
        <f t="shared" si="0"/>
        <v>575000</v>
      </c>
    </row>
    <row r="32" spans="1:5" x14ac:dyDescent="0.25">
      <c r="A32" s="27">
        <v>30</v>
      </c>
      <c r="B32" s="18" t="s">
        <v>27</v>
      </c>
      <c r="C32" s="25">
        <v>1790000</v>
      </c>
      <c r="D32" s="45">
        <v>2280000</v>
      </c>
      <c r="E32" s="31">
        <f t="shared" si="0"/>
        <v>490000</v>
      </c>
    </row>
    <row r="33" spans="1:5" x14ac:dyDescent="0.25">
      <c r="A33" s="27">
        <v>31</v>
      </c>
      <c r="B33" s="18" t="s">
        <v>27</v>
      </c>
      <c r="C33" s="25">
        <v>1800000</v>
      </c>
      <c r="D33" s="25">
        <v>2185000</v>
      </c>
      <c r="E33" s="31">
        <f t="shared" si="0"/>
        <v>385000</v>
      </c>
    </row>
    <row r="34" spans="1:5" x14ac:dyDescent="0.25">
      <c r="A34" s="4">
        <v>32</v>
      </c>
      <c r="B34" s="18" t="s">
        <v>27</v>
      </c>
      <c r="C34" s="25">
        <v>1700000</v>
      </c>
      <c r="D34" s="25">
        <v>2175000</v>
      </c>
      <c r="E34" s="31">
        <f t="shared" si="0"/>
        <v>475000</v>
      </c>
    </row>
    <row r="35" spans="1:5" x14ac:dyDescent="0.25">
      <c r="A35" s="27">
        <v>33</v>
      </c>
      <c r="B35" s="72" t="s">
        <v>13</v>
      </c>
      <c r="C35" s="25">
        <v>2250000</v>
      </c>
      <c r="D35" s="55">
        <v>2270500</v>
      </c>
      <c r="E35" s="31">
        <f t="shared" si="0"/>
        <v>20500</v>
      </c>
    </row>
    <row r="36" spans="1:5" x14ac:dyDescent="0.25">
      <c r="A36" s="4">
        <v>34</v>
      </c>
      <c r="B36" s="27" t="s">
        <v>27</v>
      </c>
      <c r="C36" s="25">
        <v>1899999</v>
      </c>
      <c r="D36" s="55">
        <v>2175500</v>
      </c>
      <c r="E36" s="31">
        <f t="shared" si="0"/>
        <v>275501</v>
      </c>
    </row>
    <row r="37" spans="1:5" x14ac:dyDescent="0.25">
      <c r="A37" s="27">
        <v>35</v>
      </c>
      <c r="B37" s="72" t="s">
        <v>13</v>
      </c>
      <c r="C37" s="25">
        <v>2150000</v>
      </c>
      <c r="D37" s="50">
        <v>2270500</v>
      </c>
      <c r="E37" s="31">
        <f t="shared" si="0"/>
        <v>120500</v>
      </c>
    </row>
    <row r="38" spans="1:5" x14ac:dyDescent="0.25">
      <c r="A38" s="27">
        <v>36</v>
      </c>
      <c r="B38" s="65" t="s">
        <v>18</v>
      </c>
      <c r="C38" s="25">
        <v>1500000</v>
      </c>
      <c r="D38" s="58">
        <v>1625050</v>
      </c>
      <c r="E38" s="31">
        <f t="shared" si="0"/>
        <v>125050</v>
      </c>
    </row>
    <row r="39" spans="1:5" x14ac:dyDescent="0.25">
      <c r="A39" s="4">
        <v>37</v>
      </c>
      <c r="B39" s="58" t="s">
        <v>5</v>
      </c>
      <c r="C39" s="58">
        <v>3600000</v>
      </c>
      <c r="D39" s="25">
        <v>3704999</v>
      </c>
      <c r="E39" s="31">
        <f t="shared" si="0"/>
        <v>104999</v>
      </c>
    </row>
    <row r="40" spans="1:5" x14ac:dyDescent="0.25">
      <c r="A40" s="27">
        <v>38</v>
      </c>
      <c r="B40" s="4" t="s">
        <v>18</v>
      </c>
      <c r="C40" s="25">
        <v>1300000</v>
      </c>
      <c r="D40" s="25">
        <v>1625050</v>
      </c>
      <c r="E40" s="31">
        <f t="shared" si="0"/>
        <v>325050</v>
      </c>
    </row>
    <row r="41" spans="1:5" x14ac:dyDescent="0.25">
      <c r="A41" s="4">
        <v>39</v>
      </c>
      <c r="B41" s="65" t="s">
        <v>13</v>
      </c>
      <c r="C41" s="25">
        <v>2100000</v>
      </c>
      <c r="D41" s="25">
        <v>2280000</v>
      </c>
      <c r="E41" s="31">
        <f t="shared" si="0"/>
        <v>180000</v>
      </c>
    </row>
    <row r="42" spans="1:5" x14ac:dyDescent="0.25">
      <c r="A42" s="27">
        <v>40</v>
      </c>
      <c r="B42" s="65" t="s">
        <v>34</v>
      </c>
      <c r="C42" s="6">
        <v>2950000</v>
      </c>
      <c r="D42" s="21">
        <v>3225250</v>
      </c>
      <c r="E42" s="25">
        <f t="shared" si="0"/>
        <v>275250</v>
      </c>
    </row>
    <row r="43" spans="1:5" x14ac:dyDescent="0.25">
      <c r="A43" s="27">
        <v>41</v>
      </c>
      <c r="B43" s="65" t="s">
        <v>34</v>
      </c>
      <c r="C43" s="65">
        <v>3000000</v>
      </c>
      <c r="D43" s="65">
        <v>3225250</v>
      </c>
      <c r="E43" s="25">
        <f t="shared" si="0"/>
        <v>225250</v>
      </c>
    </row>
    <row r="44" spans="1:5" x14ac:dyDescent="0.25">
      <c r="A44" s="4">
        <v>42</v>
      </c>
      <c r="B44" s="65" t="s">
        <v>78</v>
      </c>
      <c r="C44" s="65">
        <v>100000</v>
      </c>
      <c r="D44" s="65">
        <v>237500</v>
      </c>
      <c r="E44" s="25">
        <f t="shared" si="0"/>
        <v>137500</v>
      </c>
    </row>
    <row r="45" spans="1:5" x14ac:dyDescent="0.25">
      <c r="A45" s="27">
        <v>43</v>
      </c>
      <c r="B45" s="39" t="s">
        <v>29</v>
      </c>
      <c r="C45" s="39">
        <v>888888</v>
      </c>
      <c r="D45" s="39">
        <v>997500</v>
      </c>
      <c r="E45" s="25">
        <f t="shared" si="0"/>
        <v>108612</v>
      </c>
    </row>
    <row r="46" spans="1:5" x14ac:dyDescent="0.25">
      <c r="A46" s="4">
        <v>44</v>
      </c>
      <c r="B46" s="4" t="s">
        <v>34</v>
      </c>
      <c r="C46" s="6">
        <v>3000000</v>
      </c>
      <c r="D46" s="6">
        <v>3224300</v>
      </c>
      <c r="E46" s="25">
        <f t="shared" si="0"/>
        <v>224300</v>
      </c>
    </row>
    <row r="47" spans="1:5" x14ac:dyDescent="0.25">
      <c r="A47" s="27">
        <v>45</v>
      </c>
      <c r="B47" s="65" t="s">
        <v>13</v>
      </c>
      <c r="C47" s="6">
        <v>2100000</v>
      </c>
      <c r="D47" s="6">
        <v>2270500</v>
      </c>
      <c r="E47" s="25">
        <f t="shared" si="0"/>
        <v>170500</v>
      </c>
    </row>
    <row r="48" spans="1:5" x14ac:dyDescent="0.25">
      <c r="A48" s="27">
        <v>46</v>
      </c>
      <c r="B48" s="4" t="s">
        <v>103</v>
      </c>
      <c r="C48" s="6">
        <v>59000</v>
      </c>
      <c r="D48" s="6">
        <v>560500</v>
      </c>
      <c r="E48" s="25">
        <f t="shared" si="0"/>
        <v>501500</v>
      </c>
    </row>
    <row r="49" spans="1:5" x14ac:dyDescent="0.25">
      <c r="A49" s="4">
        <v>47</v>
      </c>
      <c r="B49" s="4" t="s">
        <v>13</v>
      </c>
      <c r="C49" s="6">
        <v>2150000</v>
      </c>
      <c r="D49" s="6">
        <v>2270500</v>
      </c>
      <c r="E49" s="25">
        <f t="shared" si="0"/>
        <v>120500</v>
      </c>
    </row>
    <row r="50" spans="1:5" x14ac:dyDescent="0.25">
      <c r="A50" s="27">
        <v>48</v>
      </c>
      <c r="B50" s="26" t="s">
        <v>99</v>
      </c>
      <c r="C50" s="26">
        <v>1850000</v>
      </c>
      <c r="D50" s="26">
        <v>2080500</v>
      </c>
      <c r="E50" s="25">
        <f t="shared" si="0"/>
        <v>230500</v>
      </c>
    </row>
    <row r="51" spans="1:5" x14ac:dyDescent="0.25">
      <c r="A51" s="4">
        <v>49</v>
      </c>
      <c r="B51" s="4" t="s">
        <v>34</v>
      </c>
      <c r="C51" s="6">
        <v>2999999</v>
      </c>
      <c r="D51" s="6">
        <v>3225250</v>
      </c>
      <c r="E51" s="25">
        <f t="shared" si="0"/>
        <v>225251</v>
      </c>
    </row>
    <row r="52" spans="1:5" x14ac:dyDescent="0.25">
      <c r="A52" s="27">
        <v>50</v>
      </c>
      <c r="B52" s="4" t="s">
        <v>34</v>
      </c>
      <c r="C52" s="65">
        <v>3000000</v>
      </c>
      <c r="D52" s="6">
        <v>3125500</v>
      </c>
      <c r="E52" s="25">
        <f t="shared" si="0"/>
        <v>125500</v>
      </c>
    </row>
    <row r="53" spans="1:5" x14ac:dyDescent="0.25">
      <c r="A53" s="27">
        <v>51</v>
      </c>
      <c r="B53" s="4" t="s">
        <v>99</v>
      </c>
      <c r="C53" s="6">
        <v>1900000</v>
      </c>
      <c r="D53" s="6">
        <v>2279999</v>
      </c>
      <c r="E53" s="25">
        <f t="shared" si="0"/>
        <v>379999</v>
      </c>
    </row>
    <row r="54" spans="1:5" x14ac:dyDescent="0.25">
      <c r="A54" s="4">
        <v>52</v>
      </c>
      <c r="B54" s="4" t="s">
        <v>104</v>
      </c>
      <c r="C54" s="6">
        <v>3333333</v>
      </c>
      <c r="D54" s="6">
        <v>3800000</v>
      </c>
      <c r="E54" s="25">
        <f t="shared" si="0"/>
        <v>466667</v>
      </c>
    </row>
    <row r="55" spans="1:5" x14ac:dyDescent="0.25">
      <c r="A55" s="27">
        <v>53</v>
      </c>
      <c r="B55" s="4" t="s">
        <v>94</v>
      </c>
      <c r="C55" s="6">
        <v>2000000</v>
      </c>
      <c r="D55" s="6">
        <v>2185000</v>
      </c>
      <c r="E55" s="25">
        <f t="shared" si="0"/>
        <v>185000</v>
      </c>
    </row>
    <row r="56" spans="1:5" x14ac:dyDescent="0.25">
      <c r="A56" s="4">
        <v>54</v>
      </c>
      <c r="B56" s="4" t="s">
        <v>99</v>
      </c>
      <c r="C56" s="6">
        <v>1900000</v>
      </c>
      <c r="D56" s="26">
        <v>2080500</v>
      </c>
      <c r="E56" s="25">
        <f t="shared" si="0"/>
        <v>180500</v>
      </c>
    </row>
    <row r="57" spans="1:5" x14ac:dyDescent="0.25">
      <c r="A57" s="27">
        <v>55</v>
      </c>
      <c r="B57" s="4" t="s">
        <v>18</v>
      </c>
      <c r="C57" s="6">
        <v>1500000</v>
      </c>
      <c r="D57" s="6">
        <v>1652050</v>
      </c>
      <c r="E57" s="6">
        <f t="shared" si="0"/>
        <v>152050</v>
      </c>
    </row>
    <row r="58" spans="1:5" x14ac:dyDescent="0.25">
      <c r="A58" s="27">
        <v>56</v>
      </c>
      <c r="B58" s="4" t="s">
        <v>13</v>
      </c>
      <c r="C58" s="6">
        <v>2000000</v>
      </c>
      <c r="D58" s="6">
        <v>2279999</v>
      </c>
      <c r="E58" s="6">
        <f t="shared" si="0"/>
        <v>279999</v>
      </c>
    </row>
    <row r="59" spans="1:5" x14ac:dyDescent="0.25">
      <c r="A59" s="4">
        <v>57</v>
      </c>
      <c r="B59" s="4" t="s">
        <v>34</v>
      </c>
      <c r="C59" s="6">
        <v>3000000</v>
      </c>
      <c r="D59" s="6">
        <v>3225250</v>
      </c>
      <c r="E59" s="6">
        <f t="shared" si="0"/>
        <v>225250</v>
      </c>
    </row>
    <row r="60" spans="1:5" x14ac:dyDescent="0.25">
      <c r="A60" s="27">
        <v>58</v>
      </c>
      <c r="B60" s="4" t="s">
        <v>99</v>
      </c>
      <c r="C60" s="6">
        <v>1900000</v>
      </c>
      <c r="D60" s="26">
        <v>2080500</v>
      </c>
      <c r="E60" s="6">
        <f t="shared" si="0"/>
        <v>180500</v>
      </c>
    </row>
    <row r="61" spans="1:5" x14ac:dyDescent="0.25">
      <c r="A61" s="27">
        <v>59</v>
      </c>
      <c r="B61" s="4" t="s">
        <v>33</v>
      </c>
      <c r="C61" s="6">
        <v>1288888</v>
      </c>
      <c r="D61" s="6">
        <v>1472393</v>
      </c>
      <c r="E61" s="6">
        <f t="shared" si="0"/>
        <v>183505</v>
      </c>
    </row>
    <row r="62" spans="1:5" x14ac:dyDescent="0.25">
      <c r="A62" s="4">
        <v>60</v>
      </c>
      <c r="B62" s="4" t="s">
        <v>34</v>
      </c>
      <c r="C62" s="6">
        <v>3000000</v>
      </c>
      <c r="D62" s="6">
        <v>3125500</v>
      </c>
      <c r="E62" s="6">
        <f t="shared" si="0"/>
        <v>125500</v>
      </c>
    </row>
    <row r="63" spans="1:5" x14ac:dyDescent="0.25">
      <c r="A63" s="27">
        <v>61</v>
      </c>
      <c r="B63" s="4" t="s">
        <v>34</v>
      </c>
      <c r="C63" s="6">
        <v>3000000</v>
      </c>
      <c r="D63" s="6">
        <v>3125500</v>
      </c>
      <c r="E63" s="6">
        <f t="shared" si="0"/>
        <v>125500</v>
      </c>
    </row>
    <row r="64" spans="1:5" x14ac:dyDescent="0.25">
      <c r="A64" s="27">
        <v>62</v>
      </c>
      <c r="B64" s="4" t="s">
        <v>34</v>
      </c>
      <c r="C64" s="6">
        <v>3000000</v>
      </c>
      <c r="D64" s="6">
        <v>3125500</v>
      </c>
      <c r="E64" s="6">
        <f t="shared" si="0"/>
        <v>125500</v>
      </c>
    </row>
    <row r="65" spans="1:5" x14ac:dyDescent="0.25">
      <c r="A65" s="4">
        <v>63</v>
      </c>
      <c r="B65" s="4" t="s">
        <v>34</v>
      </c>
      <c r="C65" s="6">
        <v>3000000</v>
      </c>
      <c r="D65" s="6">
        <v>3125500</v>
      </c>
      <c r="E65" s="6">
        <f t="shared" si="0"/>
        <v>125500</v>
      </c>
    </row>
    <row r="66" spans="1:5" x14ac:dyDescent="0.25">
      <c r="A66" s="27">
        <v>64</v>
      </c>
      <c r="B66" s="4" t="s">
        <v>23</v>
      </c>
      <c r="C66" s="6">
        <v>700000</v>
      </c>
      <c r="D66" s="6">
        <v>844443</v>
      </c>
      <c r="E66" s="6">
        <f t="shared" si="0"/>
        <v>144443</v>
      </c>
    </row>
    <row r="67" spans="1:5" x14ac:dyDescent="0.25">
      <c r="A67" s="27">
        <v>65</v>
      </c>
      <c r="B67" s="4" t="s">
        <v>23</v>
      </c>
      <c r="C67" s="6">
        <v>666666</v>
      </c>
      <c r="D67" s="6">
        <v>844443</v>
      </c>
      <c r="E67" s="6">
        <f t="shared" ref="E67:E91" si="1">D67-C67</f>
        <v>177777</v>
      </c>
    </row>
    <row r="68" spans="1:5" x14ac:dyDescent="0.25">
      <c r="A68" s="4">
        <v>66</v>
      </c>
      <c r="B68" s="10" t="s">
        <v>23</v>
      </c>
      <c r="C68" s="6">
        <v>750000</v>
      </c>
      <c r="D68" s="6">
        <v>844443</v>
      </c>
      <c r="E68" s="6">
        <f t="shared" si="1"/>
        <v>94443</v>
      </c>
    </row>
    <row r="69" spans="1:5" x14ac:dyDescent="0.25">
      <c r="A69" s="27">
        <v>67</v>
      </c>
      <c r="B69" s="26" t="s">
        <v>23</v>
      </c>
      <c r="C69" s="6">
        <v>700000</v>
      </c>
      <c r="D69" s="6">
        <v>844443</v>
      </c>
      <c r="E69" s="6">
        <f t="shared" si="1"/>
        <v>144443</v>
      </c>
    </row>
    <row r="70" spans="1:5" x14ac:dyDescent="0.25">
      <c r="A70" s="27">
        <v>68</v>
      </c>
      <c r="B70" s="26" t="s">
        <v>18</v>
      </c>
      <c r="C70" s="26">
        <v>1499999</v>
      </c>
      <c r="D70" s="26">
        <v>1708943</v>
      </c>
      <c r="E70" s="6">
        <f t="shared" si="1"/>
        <v>208944</v>
      </c>
    </row>
    <row r="71" spans="1:5" x14ac:dyDescent="0.25">
      <c r="A71" s="4">
        <v>69</v>
      </c>
      <c r="B71" s="4" t="s">
        <v>73</v>
      </c>
      <c r="C71" s="6">
        <v>1100000</v>
      </c>
      <c r="D71" s="6">
        <v>1662500</v>
      </c>
      <c r="E71" s="6">
        <f t="shared" si="1"/>
        <v>562500</v>
      </c>
    </row>
    <row r="72" spans="1:5" x14ac:dyDescent="0.25">
      <c r="A72" s="27">
        <v>70</v>
      </c>
      <c r="B72" s="4" t="s">
        <v>34</v>
      </c>
      <c r="C72" s="6">
        <v>2949999</v>
      </c>
      <c r="D72" s="6">
        <v>3125500</v>
      </c>
      <c r="E72" s="6">
        <f t="shared" si="1"/>
        <v>175501</v>
      </c>
    </row>
    <row r="73" spans="1:5" x14ac:dyDescent="0.25">
      <c r="A73" s="27">
        <v>71</v>
      </c>
      <c r="B73" s="4" t="s">
        <v>34</v>
      </c>
      <c r="C73" s="6">
        <v>3050000</v>
      </c>
      <c r="D73" s="6">
        <v>3125500</v>
      </c>
      <c r="E73" s="6">
        <f t="shared" si="1"/>
        <v>75500</v>
      </c>
    </row>
    <row r="74" spans="1:5" x14ac:dyDescent="0.25">
      <c r="A74" s="4">
        <v>72</v>
      </c>
      <c r="B74" s="18" t="s">
        <v>27</v>
      </c>
      <c r="C74" s="6">
        <v>2000000</v>
      </c>
      <c r="D74" s="6">
        <v>2185000</v>
      </c>
      <c r="E74" s="6">
        <f t="shared" si="1"/>
        <v>185000</v>
      </c>
    </row>
    <row r="75" spans="1:5" x14ac:dyDescent="0.25">
      <c r="A75" s="27">
        <v>73</v>
      </c>
      <c r="B75" s="4" t="s">
        <v>44</v>
      </c>
      <c r="C75" s="6">
        <v>100000</v>
      </c>
      <c r="D75" s="6">
        <v>184202</v>
      </c>
      <c r="E75" s="6">
        <f t="shared" si="1"/>
        <v>84202</v>
      </c>
    </row>
    <row r="76" spans="1:5" x14ac:dyDescent="0.25">
      <c r="A76" s="27">
        <v>74</v>
      </c>
      <c r="B76" s="4" t="s">
        <v>29</v>
      </c>
      <c r="C76" s="6">
        <v>850000</v>
      </c>
      <c r="D76" s="6">
        <v>950000</v>
      </c>
      <c r="E76" s="6">
        <f t="shared" si="1"/>
        <v>100000</v>
      </c>
    </row>
    <row r="77" spans="1:5" x14ac:dyDescent="0.25">
      <c r="A77" s="4">
        <v>75</v>
      </c>
      <c r="B77" s="4" t="s">
        <v>34</v>
      </c>
      <c r="C77" s="6">
        <v>3000000</v>
      </c>
      <c r="D77" s="6">
        <v>3125500</v>
      </c>
      <c r="E77" s="6">
        <f t="shared" si="1"/>
        <v>125500</v>
      </c>
    </row>
    <row r="78" spans="1:5" x14ac:dyDescent="0.25">
      <c r="A78" s="27">
        <v>76</v>
      </c>
      <c r="B78" s="26" t="s">
        <v>18</v>
      </c>
      <c r="C78" s="6">
        <v>1500000</v>
      </c>
      <c r="D78" s="6">
        <v>1708943</v>
      </c>
      <c r="E78" s="6">
        <f t="shared" si="1"/>
        <v>208943</v>
      </c>
    </row>
    <row r="79" spans="1:5" x14ac:dyDescent="0.25">
      <c r="A79" s="73">
        <v>77</v>
      </c>
      <c r="B79" s="4" t="s">
        <v>99</v>
      </c>
      <c r="C79" s="6">
        <v>2000001</v>
      </c>
      <c r="D79" s="6">
        <v>2080500</v>
      </c>
      <c r="E79" s="6">
        <f t="shared" si="1"/>
        <v>80499</v>
      </c>
    </row>
    <row r="80" spans="1:5" x14ac:dyDescent="0.25">
      <c r="A80" s="73">
        <v>78</v>
      </c>
      <c r="B80" s="4" t="s">
        <v>18</v>
      </c>
      <c r="C80" s="6">
        <v>1550000</v>
      </c>
      <c r="D80" s="6">
        <v>1615000</v>
      </c>
      <c r="E80" s="6">
        <f t="shared" si="1"/>
        <v>65000</v>
      </c>
    </row>
    <row r="81" spans="1:5" x14ac:dyDescent="0.25">
      <c r="A81" s="73">
        <v>79</v>
      </c>
      <c r="B81" s="4" t="s">
        <v>99</v>
      </c>
      <c r="C81" s="6">
        <v>2000000</v>
      </c>
      <c r="D81" s="6">
        <v>2080500</v>
      </c>
      <c r="E81" s="6">
        <f t="shared" si="1"/>
        <v>80500</v>
      </c>
    </row>
    <row r="82" spans="1:5" x14ac:dyDescent="0.25">
      <c r="A82" s="73">
        <v>80</v>
      </c>
      <c r="B82" s="4" t="s">
        <v>99</v>
      </c>
      <c r="C82" s="6">
        <v>2000000</v>
      </c>
      <c r="D82" s="6">
        <v>2080500</v>
      </c>
      <c r="E82" s="6">
        <f t="shared" si="1"/>
        <v>80500</v>
      </c>
    </row>
    <row r="83" spans="1:5" x14ac:dyDescent="0.25">
      <c r="A83" s="73">
        <v>81</v>
      </c>
      <c r="B83" s="4" t="s">
        <v>104</v>
      </c>
      <c r="C83" s="6">
        <v>3500000</v>
      </c>
      <c r="D83" s="6">
        <v>3990000</v>
      </c>
      <c r="E83" s="6">
        <f t="shared" si="1"/>
        <v>490000</v>
      </c>
    </row>
    <row r="84" spans="1:5" x14ac:dyDescent="0.25">
      <c r="A84" s="73">
        <v>82</v>
      </c>
      <c r="B84" s="4" t="s">
        <v>99</v>
      </c>
      <c r="C84" s="6">
        <v>2000000</v>
      </c>
      <c r="D84" s="6">
        <v>2232599</v>
      </c>
      <c r="E84" s="6">
        <f t="shared" si="1"/>
        <v>232599</v>
      </c>
    </row>
    <row r="85" spans="1:5" x14ac:dyDescent="0.25">
      <c r="A85" s="73">
        <v>83</v>
      </c>
      <c r="B85" s="4" t="s">
        <v>99</v>
      </c>
      <c r="C85" s="6">
        <v>2015000</v>
      </c>
      <c r="D85" s="6">
        <v>2242000</v>
      </c>
      <c r="E85" s="6">
        <f t="shared" si="1"/>
        <v>227000</v>
      </c>
    </row>
    <row r="86" spans="1:5" x14ac:dyDescent="0.25">
      <c r="A86" s="73">
        <v>84</v>
      </c>
      <c r="B86" s="18" t="s">
        <v>27</v>
      </c>
      <c r="C86" s="6">
        <v>1999999</v>
      </c>
      <c r="D86" s="6">
        <v>2184050</v>
      </c>
      <c r="E86" s="6">
        <f t="shared" si="1"/>
        <v>184051</v>
      </c>
    </row>
    <row r="87" spans="1:5" x14ac:dyDescent="0.25">
      <c r="A87" s="73">
        <v>85</v>
      </c>
      <c r="B87" s="18" t="s">
        <v>27</v>
      </c>
      <c r="C87" s="6">
        <v>2000000</v>
      </c>
      <c r="D87" s="6">
        <v>2184905</v>
      </c>
      <c r="E87" s="6">
        <f t="shared" si="1"/>
        <v>184905</v>
      </c>
    </row>
    <row r="88" spans="1:5" x14ac:dyDescent="0.25">
      <c r="A88" s="73">
        <v>86</v>
      </c>
      <c r="B88" s="4" t="s">
        <v>94</v>
      </c>
      <c r="C88" s="6">
        <v>2100000</v>
      </c>
      <c r="D88" s="6">
        <v>2374999</v>
      </c>
      <c r="E88" s="6">
        <f t="shared" si="1"/>
        <v>274999</v>
      </c>
    </row>
    <row r="89" spans="1:5" x14ac:dyDescent="0.25">
      <c r="A89" s="73">
        <v>87</v>
      </c>
      <c r="B89" s="4" t="s">
        <v>99</v>
      </c>
      <c r="C89" s="6">
        <v>2000000</v>
      </c>
      <c r="D89" s="6">
        <v>2242000</v>
      </c>
      <c r="E89" s="6">
        <f t="shared" si="1"/>
        <v>242000</v>
      </c>
    </row>
    <row r="90" spans="1:5" x14ac:dyDescent="0.25">
      <c r="A90" s="73">
        <v>88</v>
      </c>
      <c r="B90" s="18" t="s">
        <v>27</v>
      </c>
      <c r="C90" s="6">
        <v>1990000</v>
      </c>
      <c r="D90" s="6">
        <v>2184905</v>
      </c>
      <c r="E90" s="6">
        <f t="shared" si="1"/>
        <v>194905</v>
      </c>
    </row>
    <row r="91" spans="1:5" x14ac:dyDescent="0.25">
      <c r="A91" s="73">
        <v>89</v>
      </c>
      <c r="B91" s="18" t="s">
        <v>27</v>
      </c>
      <c r="C91" s="6">
        <v>2000000</v>
      </c>
      <c r="D91" s="6">
        <v>2184905</v>
      </c>
      <c r="E91" s="6">
        <f t="shared" si="1"/>
        <v>184905</v>
      </c>
    </row>
    <row r="92" spans="1:5" x14ac:dyDescent="0.25">
      <c r="A92" s="89" t="s">
        <v>8</v>
      </c>
      <c r="B92" s="89"/>
      <c r="C92" s="89"/>
      <c r="D92" s="89"/>
      <c r="E92" s="8">
        <v>360497</v>
      </c>
    </row>
    <row r="93" spans="1:5" x14ac:dyDescent="0.25">
      <c r="A93" s="89" t="s">
        <v>9</v>
      </c>
      <c r="B93" s="89"/>
      <c r="C93" s="89"/>
      <c r="D93" s="89"/>
      <c r="E93" s="8">
        <f>SUM(E3:E91)-E92</f>
        <v>19886243</v>
      </c>
    </row>
    <row r="94" spans="1:5" x14ac:dyDescent="0.25">
      <c r="C94" s="6"/>
      <c r="D94" s="6"/>
      <c r="E94" s="6"/>
    </row>
    <row r="95" spans="1:5" x14ac:dyDescent="0.25">
      <c r="C95" s="6"/>
      <c r="D95" s="6"/>
      <c r="E95" s="6"/>
    </row>
    <row r="96" spans="1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A114" s="15"/>
      <c r="B114" s="15"/>
      <c r="C114" s="15"/>
      <c r="D114" s="15"/>
      <c r="E114" s="15"/>
    </row>
    <row r="115" spans="1:5" x14ac:dyDescent="0.25">
      <c r="B115" s="9"/>
      <c r="C115" s="9"/>
      <c r="D115" s="9"/>
      <c r="E115" s="8"/>
    </row>
    <row r="116" spans="1:5" x14ac:dyDescent="0.25">
      <c r="B116" s="9"/>
      <c r="C116" s="9"/>
      <c r="D116" s="9"/>
      <c r="E116" s="8"/>
    </row>
    <row r="117" spans="1:5" x14ac:dyDescent="0.25">
      <c r="C117" s="6"/>
      <c r="D117" s="6"/>
      <c r="E117" s="6"/>
    </row>
    <row r="118" spans="1:5" x14ac:dyDescent="0.25">
      <c r="C118" s="6"/>
      <c r="D118" s="6"/>
      <c r="E118" s="6"/>
    </row>
    <row r="119" spans="1:5" x14ac:dyDescent="0.25">
      <c r="C119" s="6"/>
      <c r="D119" s="6"/>
      <c r="E119" s="6"/>
    </row>
    <row r="120" spans="1:5" x14ac:dyDescent="0.25">
      <c r="C120" s="6"/>
      <c r="D120" s="6"/>
      <c r="E120" s="6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B139" s="10"/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B148" s="10"/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C152" s="6"/>
      <c r="D152" s="6"/>
      <c r="E152" s="6"/>
    </row>
    <row r="153" spans="2:5" x14ac:dyDescent="0.25">
      <c r="B153" s="10"/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B155" s="10"/>
      <c r="C155" s="6"/>
      <c r="D155" s="6"/>
      <c r="E155" s="6"/>
    </row>
    <row r="156" spans="2:5" x14ac:dyDescent="0.25">
      <c r="B156" s="10"/>
      <c r="C156" s="6"/>
      <c r="D156" s="6"/>
      <c r="E156" s="6"/>
    </row>
    <row r="157" spans="2:5" x14ac:dyDescent="0.25">
      <c r="C157" s="6"/>
      <c r="D157" s="6"/>
      <c r="E157" s="6"/>
    </row>
    <row r="158" spans="2:5" x14ac:dyDescent="0.25">
      <c r="B158" s="89"/>
      <c r="C158" s="89"/>
      <c r="D158" s="89"/>
      <c r="E158" s="8"/>
    </row>
    <row r="159" spans="2:5" x14ac:dyDescent="0.25">
      <c r="B159" s="89"/>
      <c r="C159" s="89"/>
      <c r="D159" s="89"/>
      <c r="E159" s="8"/>
    </row>
  </sheetData>
  <autoFilter ref="A1:E11" xr:uid="{9ADBE6C4-3C86-4FEF-95A3-A3EEEF0F0F99}"/>
  <mergeCells count="5">
    <mergeCell ref="A2:E2"/>
    <mergeCell ref="B158:D158"/>
    <mergeCell ref="B159:D159"/>
    <mergeCell ref="A92:D92"/>
    <mergeCell ref="A93:D93"/>
  </mergeCells>
  <conditionalFormatting sqref="E1">
    <cfRule type="cellIs" dxfId="92" priority="4" operator="lessThan">
      <formula>0</formula>
    </cfRule>
  </conditionalFormatting>
  <conditionalFormatting sqref="E3:E113">
    <cfRule type="cellIs" dxfId="91" priority="1" operator="lessThan">
      <formula>0</formula>
    </cfRule>
  </conditionalFormatting>
  <conditionalFormatting sqref="E115:E159">
    <cfRule type="cellIs" dxfId="90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4E4C-2C03-4E55-B666-6BA1B3682D87}">
  <dimension ref="A1:F164"/>
  <sheetViews>
    <sheetView zoomScale="145" zoomScaleNormal="145" workbookViewId="0">
      <pane ySplit="1" topLeftCell="A26" activePane="bottomLeft" state="frozen"/>
      <selection pane="bottomLeft" activeCell="E44" sqref="E44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63" t="s">
        <v>0</v>
      </c>
      <c r="B1" s="63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46064</v>
      </c>
      <c r="B2" s="88"/>
      <c r="C2" s="88"/>
      <c r="D2" s="88"/>
      <c r="E2" s="88"/>
    </row>
    <row r="3" spans="1:6" x14ac:dyDescent="0.25">
      <c r="A3" s="27">
        <v>1</v>
      </c>
      <c r="B3" s="65" t="s">
        <v>26</v>
      </c>
      <c r="C3" s="45">
        <v>2000000</v>
      </c>
      <c r="D3" s="25">
        <v>2184999</v>
      </c>
      <c r="E3" s="31">
        <f t="shared" ref="E3:E40" si="0">D3-C3</f>
        <v>184999</v>
      </c>
    </row>
    <row r="4" spans="1:6" x14ac:dyDescent="0.25">
      <c r="A4" s="4">
        <v>2</v>
      </c>
      <c r="B4" s="27" t="s">
        <v>27</v>
      </c>
      <c r="C4" s="45">
        <v>2120000</v>
      </c>
      <c r="D4" s="25">
        <v>2183955</v>
      </c>
      <c r="E4" s="31">
        <f t="shared" si="0"/>
        <v>63955</v>
      </c>
    </row>
    <row r="5" spans="1:6" x14ac:dyDescent="0.25">
      <c r="A5" s="27">
        <v>3</v>
      </c>
      <c r="B5" s="27" t="s">
        <v>27</v>
      </c>
      <c r="C5" s="25">
        <v>2100000</v>
      </c>
      <c r="D5" s="25">
        <v>2185000</v>
      </c>
      <c r="E5" s="31">
        <f t="shared" si="0"/>
        <v>85000</v>
      </c>
      <c r="F5" s="63"/>
    </row>
    <row r="6" spans="1:6" x14ac:dyDescent="0.25">
      <c r="A6" s="4">
        <v>4</v>
      </c>
      <c r="B6" s="27" t="s">
        <v>27</v>
      </c>
      <c r="C6" s="25">
        <v>2149999</v>
      </c>
      <c r="D6" s="25">
        <v>2232500</v>
      </c>
      <c r="E6" s="31">
        <f t="shared" si="0"/>
        <v>82501</v>
      </c>
    </row>
    <row r="7" spans="1:6" x14ac:dyDescent="0.25">
      <c r="A7" s="27">
        <v>5</v>
      </c>
      <c r="B7" s="27" t="s">
        <v>27</v>
      </c>
      <c r="C7" s="25">
        <v>2180000</v>
      </c>
      <c r="D7" s="25">
        <v>2280000</v>
      </c>
      <c r="E7" s="31">
        <f t="shared" si="0"/>
        <v>100000</v>
      </c>
    </row>
    <row r="8" spans="1:6" x14ac:dyDescent="0.25">
      <c r="A8" s="18">
        <v>6</v>
      </c>
      <c r="B8" s="4" t="s">
        <v>43</v>
      </c>
      <c r="C8" s="25">
        <v>677777</v>
      </c>
      <c r="D8" s="25">
        <v>928888</v>
      </c>
      <c r="E8" s="31">
        <f t="shared" si="0"/>
        <v>251111</v>
      </c>
    </row>
    <row r="9" spans="1:6" x14ac:dyDescent="0.25">
      <c r="A9" s="27">
        <v>7</v>
      </c>
      <c r="B9" s="4" t="s">
        <v>43</v>
      </c>
      <c r="C9" s="25">
        <v>700000</v>
      </c>
      <c r="D9" s="25">
        <v>928888</v>
      </c>
      <c r="E9" s="31">
        <f t="shared" si="0"/>
        <v>228888</v>
      </c>
    </row>
    <row r="10" spans="1:6" x14ac:dyDescent="0.25">
      <c r="A10" s="18">
        <v>8</v>
      </c>
      <c r="B10" s="27" t="s">
        <v>27</v>
      </c>
      <c r="C10" s="25">
        <v>1999999</v>
      </c>
      <c r="D10" s="25">
        <v>2470000</v>
      </c>
      <c r="E10" s="31">
        <f t="shared" si="0"/>
        <v>470001</v>
      </c>
    </row>
    <row r="11" spans="1:6" x14ac:dyDescent="0.25">
      <c r="A11" s="27">
        <v>9</v>
      </c>
      <c r="B11" s="4" t="s">
        <v>99</v>
      </c>
      <c r="C11" s="25">
        <v>2100000</v>
      </c>
      <c r="D11" s="25">
        <v>2279999</v>
      </c>
      <c r="E11" s="31">
        <f t="shared" si="0"/>
        <v>179999</v>
      </c>
    </row>
    <row r="12" spans="1:6" x14ac:dyDescent="0.25">
      <c r="A12" s="18">
        <v>10</v>
      </c>
      <c r="B12" s="4" t="s">
        <v>100</v>
      </c>
      <c r="C12" s="25">
        <v>3090000</v>
      </c>
      <c r="D12" s="25">
        <v>3134998</v>
      </c>
      <c r="E12" s="31">
        <f t="shared" si="0"/>
        <v>44998</v>
      </c>
      <c r="F12" s="57"/>
    </row>
    <row r="13" spans="1:6" x14ac:dyDescent="0.25">
      <c r="A13" s="27">
        <v>11</v>
      </c>
      <c r="B13" s="27" t="s">
        <v>27</v>
      </c>
      <c r="C13" s="25">
        <v>2100000</v>
      </c>
      <c r="D13" s="25">
        <v>2322221</v>
      </c>
      <c r="E13" s="31">
        <f t="shared" si="0"/>
        <v>222221</v>
      </c>
    </row>
    <row r="14" spans="1:6" x14ac:dyDescent="0.25">
      <c r="A14" s="4">
        <v>12</v>
      </c>
      <c r="B14" s="27" t="s">
        <v>27</v>
      </c>
      <c r="C14" s="25">
        <v>2100000</v>
      </c>
      <c r="D14" s="25">
        <v>2322221</v>
      </c>
      <c r="E14" s="31">
        <f t="shared" si="0"/>
        <v>222221</v>
      </c>
    </row>
    <row r="15" spans="1:6" x14ac:dyDescent="0.25">
      <c r="A15" s="27">
        <v>13</v>
      </c>
      <c r="B15" s="4" t="s">
        <v>99</v>
      </c>
      <c r="C15" s="25">
        <v>2100000</v>
      </c>
      <c r="D15" s="25">
        <v>2279999</v>
      </c>
      <c r="E15" s="31">
        <f t="shared" si="0"/>
        <v>179999</v>
      </c>
    </row>
    <row r="16" spans="1:6" x14ac:dyDescent="0.25">
      <c r="A16" s="4">
        <v>14</v>
      </c>
      <c r="B16" s="27" t="s">
        <v>33</v>
      </c>
      <c r="C16" s="25">
        <v>1400000</v>
      </c>
      <c r="D16" s="25">
        <v>1614048</v>
      </c>
      <c r="E16" s="31">
        <f t="shared" si="0"/>
        <v>214048</v>
      </c>
    </row>
    <row r="17" spans="1:5" x14ac:dyDescent="0.25">
      <c r="A17" s="27">
        <v>15</v>
      </c>
      <c r="B17" s="27" t="s">
        <v>27</v>
      </c>
      <c r="C17" s="25">
        <v>1999999</v>
      </c>
      <c r="D17" s="25">
        <v>2470000</v>
      </c>
      <c r="E17" s="31">
        <f t="shared" si="0"/>
        <v>470001</v>
      </c>
    </row>
    <row r="18" spans="1:5" x14ac:dyDescent="0.25">
      <c r="A18" s="18">
        <v>16</v>
      </c>
      <c r="B18" s="18" t="s">
        <v>18</v>
      </c>
      <c r="C18" s="25">
        <v>1700000</v>
      </c>
      <c r="D18" s="25">
        <v>1805000</v>
      </c>
      <c r="E18" s="31">
        <f t="shared" si="0"/>
        <v>105000</v>
      </c>
    </row>
    <row r="19" spans="1:5" x14ac:dyDescent="0.25">
      <c r="A19" s="27">
        <v>17</v>
      </c>
      <c r="B19" s="4" t="s">
        <v>23</v>
      </c>
      <c r="C19" s="25">
        <v>800000</v>
      </c>
      <c r="D19" s="25">
        <v>950000</v>
      </c>
      <c r="E19" s="31">
        <f t="shared" si="0"/>
        <v>150000</v>
      </c>
    </row>
    <row r="20" spans="1:5" x14ac:dyDescent="0.25">
      <c r="A20" s="18">
        <v>18</v>
      </c>
      <c r="B20" s="27" t="s">
        <v>27</v>
      </c>
      <c r="C20" s="25">
        <v>1999999</v>
      </c>
      <c r="D20" s="25">
        <v>2232499</v>
      </c>
      <c r="E20" s="31">
        <f t="shared" si="0"/>
        <v>232500</v>
      </c>
    </row>
    <row r="21" spans="1:5" x14ac:dyDescent="0.25">
      <c r="A21" s="27">
        <v>19</v>
      </c>
      <c r="B21" s="18" t="s">
        <v>13</v>
      </c>
      <c r="C21" s="25">
        <v>2200000</v>
      </c>
      <c r="D21" s="25">
        <v>2365500</v>
      </c>
      <c r="E21" s="31">
        <f t="shared" si="0"/>
        <v>165500</v>
      </c>
    </row>
    <row r="22" spans="1:5" x14ac:dyDescent="0.25">
      <c r="A22" s="27">
        <v>20</v>
      </c>
      <c r="B22" s="65" t="s">
        <v>100</v>
      </c>
      <c r="C22" s="65">
        <v>700000</v>
      </c>
      <c r="D22" s="65">
        <v>798000</v>
      </c>
      <c r="E22" s="31">
        <f t="shared" si="0"/>
        <v>98000</v>
      </c>
    </row>
    <row r="23" spans="1:5" x14ac:dyDescent="0.25">
      <c r="A23" s="69">
        <v>21</v>
      </c>
      <c r="B23" s="65" t="s">
        <v>34</v>
      </c>
      <c r="C23" s="65">
        <v>3200000</v>
      </c>
      <c r="D23" s="65">
        <v>3325000</v>
      </c>
      <c r="E23" s="31">
        <f t="shared" si="0"/>
        <v>125000</v>
      </c>
    </row>
    <row r="24" spans="1:5" x14ac:dyDescent="0.25">
      <c r="A24" s="64">
        <v>22</v>
      </c>
      <c r="B24" s="64" t="s">
        <v>5</v>
      </c>
      <c r="C24" s="65">
        <v>3750000</v>
      </c>
      <c r="D24" s="66">
        <v>3894999</v>
      </c>
      <c r="E24" s="31">
        <f t="shared" si="0"/>
        <v>144999</v>
      </c>
    </row>
    <row r="25" spans="1:5" x14ac:dyDescent="0.25">
      <c r="A25" s="69">
        <v>23</v>
      </c>
      <c r="B25" s="64" t="s">
        <v>100</v>
      </c>
      <c r="C25" s="65">
        <v>3000000</v>
      </c>
      <c r="D25" s="66">
        <v>3134999</v>
      </c>
      <c r="E25" s="31">
        <f t="shared" si="0"/>
        <v>134999</v>
      </c>
    </row>
    <row r="26" spans="1:5" x14ac:dyDescent="0.25">
      <c r="A26" s="64">
        <v>24</v>
      </c>
      <c r="B26" s="4" t="s">
        <v>23</v>
      </c>
      <c r="C26" s="42">
        <v>800000</v>
      </c>
      <c r="D26" s="66">
        <v>931000</v>
      </c>
      <c r="E26" s="31">
        <f t="shared" si="0"/>
        <v>131000</v>
      </c>
    </row>
    <row r="27" spans="1:5" x14ac:dyDescent="0.25">
      <c r="A27" s="64">
        <v>25</v>
      </c>
      <c r="B27" s="18" t="s">
        <v>13</v>
      </c>
      <c r="C27" s="65">
        <v>2111111</v>
      </c>
      <c r="D27" s="66">
        <v>2280000</v>
      </c>
      <c r="E27" s="31">
        <f t="shared" si="0"/>
        <v>168889</v>
      </c>
    </row>
    <row r="28" spans="1:5" x14ac:dyDescent="0.25">
      <c r="A28" s="69">
        <v>26</v>
      </c>
      <c r="B28" s="18" t="s">
        <v>13</v>
      </c>
      <c r="C28" s="45">
        <v>2222222</v>
      </c>
      <c r="D28" s="45">
        <v>2356000</v>
      </c>
      <c r="E28" s="31">
        <f t="shared" si="0"/>
        <v>133778</v>
      </c>
    </row>
    <row r="29" spans="1:5" x14ac:dyDescent="0.25">
      <c r="A29" s="64">
        <v>27</v>
      </c>
      <c r="B29" s="18" t="s">
        <v>13</v>
      </c>
      <c r="C29" s="25">
        <v>2100000</v>
      </c>
      <c r="D29" s="45">
        <v>2356000</v>
      </c>
      <c r="E29" s="31">
        <f t="shared" si="0"/>
        <v>256000</v>
      </c>
    </row>
    <row r="30" spans="1:5" x14ac:dyDescent="0.25">
      <c r="A30" s="69">
        <v>28</v>
      </c>
      <c r="B30" s="4" t="s">
        <v>23</v>
      </c>
      <c r="C30" s="25">
        <v>800000</v>
      </c>
      <c r="D30" s="42">
        <v>931000</v>
      </c>
      <c r="E30" s="31">
        <f t="shared" si="0"/>
        <v>131000</v>
      </c>
    </row>
    <row r="31" spans="1:5" x14ac:dyDescent="0.25">
      <c r="A31" s="64">
        <v>29</v>
      </c>
      <c r="B31" s="27" t="s">
        <v>27</v>
      </c>
      <c r="C31" s="25">
        <v>2050000</v>
      </c>
      <c r="D31" s="42">
        <v>2280000</v>
      </c>
      <c r="E31" s="31">
        <f t="shared" si="0"/>
        <v>230000</v>
      </c>
    </row>
    <row r="32" spans="1:5" x14ac:dyDescent="0.25">
      <c r="A32" s="69">
        <v>30</v>
      </c>
      <c r="B32" s="27" t="s">
        <v>27</v>
      </c>
      <c r="C32" s="25">
        <v>2100000</v>
      </c>
      <c r="D32" s="25">
        <v>2280000</v>
      </c>
      <c r="E32" s="31">
        <f t="shared" si="0"/>
        <v>180000</v>
      </c>
    </row>
    <row r="33" spans="1:5" x14ac:dyDescent="0.25">
      <c r="A33" s="27">
        <v>31</v>
      </c>
      <c r="B33" s="27" t="s">
        <v>27</v>
      </c>
      <c r="C33" s="25">
        <v>1999999</v>
      </c>
      <c r="D33" s="25">
        <v>2280000</v>
      </c>
      <c r="E33" s="31">
        <f t="shared" si="0"/>
        <v>280001</v>
      </c>
    </row>
    <row r="34" spans="1:5" x14ac:dyDescent="0.25">
      <c r="A34" s="52">
        <v>32</v>
      </c>
      <c r="B34" s="27" t="s">
        <v>27</v>
      </c>
      <c r="C34" s="25">
        <v>2000000</v>
      </c>
      <c r="D34" s="25">
        <v>2232499</v>
      </c>
      <c r="E34" s="31">
        <f t="shared" si="0"/>
        <v>232499</v>
      </c>
    </row>
    <row r="35" spans="1:5" x14ac:dyDescent="0.25">
      <c r="A35" s="27">
        <v>33</v>
      </c>
      <c r="B35" s="18" t="s">
        <v>13</v>
      </c>
      <c r="C35" s="25">
        <v>2150000</v>
      </c>
      <c r="D35" s="45">
        <v>2356000</v>
      </c>
      <c r="E35" s="25">
        <f t="shared" si="0"/>
        <v>206000</v>
      </c>
    </row>
    <row r="36" spans="1:5" x14ac:dyDescent="0.25">
      <c r="A36" s="52">
        <v>34</v>
      </c>
      <c r="B36" s="27" t="s">
        <v>14</v>
      </c>
      <c r="C36" s="25">
        <v>1500001</v>
      </c>
      <c r="D36" s="25">
        <v>1614999</v>
      </c>
      <c r="E36" s="25">
        <f t="shared" si="0"/>
        <v>114998</v>
      </c>
    </row>
    <row r="37" spans="1:5" x14ac:dyDescent="0.25">
      <c r="A37" s="52">
        <v>35</v>
      </c>
      <c r="B37" s="27" t="s">
        <v>63</v>
      </c>
      <c r="C37" s="25">
        <v>1167999</v>
      </c>
      <c r="D37" s="25">
        <v>1425008</v>
      </c>
      <c r="E37" s="25">
        <f t="shared" si="0"/>
        <v>257009</v>
      </c>
    </row>
    <row r="38" spans="1:5" x14ac:dyDescent="0.25">
      <c r="A38" s="27">
        <v>36</v>
      </c>
      <c r="B38" s="65" t="s">
        <v>100</v>
      </c>
      <c r="C38" s="25">
        <v>2800000</v>
      </c>
      <c r="D38" s="55">
        <v>3192000</v>
      </c>
      <c r="E38" s="25">
        <f t="shared" si="0"/>
        <v>392000</v>
      </c>
    </row>
    <row r="39" spans="1:5" x14ac:dyDescent="0.25">
      <c r="A39" s="27">
        <v>37</v>
      </c>
      <c r="B39" s="27" t="s">
        <v>27</v>
      </c>
      <c r="C39" s="25">
        <v>2050000</v>
      </c>
      <c r="D39" s="55">
        <v>2232499</v>
      </c>
      <c r="E39" s="25">
        <f t="shared" si="0"/>
        <v>182499</v>
      </c>
    </row>
    <row r="40" spans="1:5" x14ac:dyDescent="0.25">
      <c r="A40" s="52">
        <v>38</v>
      </c>
      <c r="B40" s="65" t="s">
        <v>63</v>
      </c>
      <c r="C40" s="25">
        <v>1164999</v>
      </c>
      <c r="D40" s="50">
        <v>1344000</v>
      </c>
      <c r="E40" s="25">
        <f t="shared" si="0"/>
        <v>179001</v>
      </c>
    </row>
    <row r="41" spans="1:5" x14ac:dyDescent="0.25">
      <c r="A41" s="89" t="s">
        <v>8</v>
      </c>
      <c r="B41" s="89"/>
      <c r="C41" s="89"/>
      <c r="D41" s="89"/>
      <c r="E41" s="8">
        <v>0</v>
      </c>
    </row>
    <row r="42" spans="1:5" x14ac:dyDescent="0.25">
      <c r="A42" s="89" t="s">
        <v>9</v>
      </c>
      <c r="B42" s="89"/>
      <c r="C42" s="89"/>
      <c r="D42" s="89"/>
      <c r="E42" s="8">
        <f>SUM(E3:E40)-E41</f>
        <v>7230614</v>
      </c>
    </row>
    <row r="43" spans="1:5" x14ac:dyDescent="0.25">
      <c r="A43" s="52"/>
      <c r="C43" s="25"/>
      <c r="D43" s="25"/>
      <c r="E43" s="25"/>
    </row>
    <row r="44" spans="1:5" x14ac:dyDescent="0.25">
      <c r="A44" s="27"/>
      <c r="B44" s="65"/>
      <c r="C44" s="25"/>
      <c r="D44" s="25"/>
      <c r="E44" s="25"/>
    </row>
    <row r="45" spans="1:5" x14ac:dyDescent="0.25">
      <c r="A45" s="67"/>
      <c r="B45" s="65"/>
      <c r="C45" s="6"/>
      <c r="D45" s="21"/>
      <c r="E45" s="25"/>
    </row>
    <row r="46" spans="1:5" x14ac:dyDescent="0.25">
      <c r="A46" s="65"/>
      <c r="B46" s="65"/>
      <c r="C46" s="65"/>
      <c r="D46" s="65"/>
      <c r="E46" s="66"/>
    </row>
    <row r="47" spans="1:5" x14ac:dyDescent="0.25">
      <c r="A47" s="65"/>
      <c r="B47" s="65"/>
      <c r="C47" s="65"/>
      <c r="D47" s="65"/>
      <c r="E47" s="66"/>
    </row>
    <row r="48" spans="1:5" x14ac:dyDescent="0.25">
      <c r="A48" s="39"/>
      <c r="B48" s="39"/>
      <c r="C48" s="39"/>
      <c r="D48" s="39"/>
      <c r="E48" s="38"/>
    </row>
    <row r="49" spans="1:5" x14ac:dyDescent="0.25">
      <c r="A49" s="28"/>
      <c r="C49" s="6"/>
      <c r="D49" s="6"/>
      <c r="E49" s="25"/>
    </row>
    <row r="50" spans="1:5" x14ac:dyDescent="0.25">
      <c r="A50" s="28"/>
      <c r="B50" s="1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8"/>
      <c r="C52" s="6"/>
      <c r="D52" s="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26"/>
      <c r="B54" s="26"/>
      <c r="C54" s="26"/>
      <c r="D54" s="26"/>
      <c r="E54" s="25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C72" s="6"/>
      <c r="D72" s="6"/>
      <c r="E72" s="6"/>
    </row>
    <row r="73" spans="1:5" x14ac:dyDescent="0.25">
      <c r="A73" s="18"/>
      <c r="B73" s="10"/>
      <c r="C73" s="6"/>
      <c r="D73" s="6"/>
      <c r="E73" s="6"/>
    </row>
    <row r="74" spans="1:5" x14ac:dyDescent="0.25">
      <c r="A74" s="26"/>
      <c r="B74" s="26"/>
      <c r="C74" s="26"/>
      <c r="D74" s="26"/>
      <c r="E74" s="25"/>
    </row>
    <row r="75" spans="1:5" x14ac:dyDescent="0.25">
      <c r="A75" s="26"/>
      <c r="B75" s="26"/>
      <c r="C75" s="26"/>
      <c r="D75" s="26"/>
      <c r="E75" s="25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C118" s="6"/>
      <c r="D118" s="6"/>
      <c r="E118" s="6"/>
    </row>
    <row r="119" spans="1:5" x14ac:dyDescent="0.25">
      <c r="A119" s="15"/>
      <c r="B119" s="15"/>
      <c r="C119" s="15"/>
      <c r="D119" s="15"/>
      <c r="E119" s="15"/>
    </row>
    <row r="120" spans="1:5" x14ac:dyDescent="0.25">
      <c r="B120" s="9"/>
      <c r="C120" s="9"/>
      <c r="D120" s="9"/>
      <c r="E120" s="8"/>
    </row>
    <row r="121" spans="1:5" x14ac:dyDescent="0.25">
      <c r="B121" s="9"/>
      <c r="C121" s="9"/>
      <c r="D121" s="9"/>
      <c r="E121" s="8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C143" s="6"/>
      <c r="D143" s="6"/>
      <c r="E143" s="6"/>
    </row>
    <row r="144" spans="2:5" x14ac:dyDescent="0.25">
      <c r="B144" s="10"/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C152" s="6"/>
      <c r="D152" s="6"/>
      <c r="E152" s="6"/>
    </row>
    <row r="153" spans="2:5" x14ac:dyDescent="0.25">
      <c r="B153" s="10"/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C157" s="6"/>
      <c r="D157" s="6"/>
      <c r="E157" s="6"/>
    </row>
    <row r="158" spans="2:5" x14ac:dyDescent="0.25">
      <c r="B158" s="10"/>
      <c r="C158" s="6"/>
      <c r="D158" s="6"/>
      <c r="E158" s="6"/>
    </row>
    <row r="159" spans="2:5" x14ac:dyDescent="0.25"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B161" s="10"/>
      <c r="C161" s="6"/>
      <c r="D161" s="6"/>
      <c r="E161" s="6"/>
    </row>
    <row r="162" spans="2:5" x14ac:dyDescent="0.25">
      <c r="C162" s="6"/>
      <c r="D162" s="6"/>
      <c r="E162" s="6"/>
    </row>
    <row r="163" spans="2:5" x14ac:dyDescent="0.25">
      <c r="B163" s="89"/>
      <c r="C163" s="89"/>
      <c r="D163" s="89"/>
      <c r="E163" s="8"/>
    </row>
    <row r="164" spans="2:5" x14ac:dyDescent="0.25">
      <c r="B164" s="89"/>
      <c r="C164" s="89"/>
      <c r="D164" s="89"/>
      <c r="E164" s="8"/>
    </row>
  </sheetData>
  <autoFilter ref="A1:E11" xr:uid="{9ADBE6C4-3C86-4FEF-95A3-A3EEEF0F0F99}"/>
  <mergeCells count="5">
    <mergeCell ref="A2:E2"/>
    <mergeCell ref="B163:D163"/>
    <mergeCell ref="B164:D164"/>
    <mergeCell ref="A41:D41"/>
    <mergeCell ref="A42:D42"/>
  </mergeCells>
  <conditionalFormatting sqref="E1">
    <cfRule type="cellIs" dxfId="89" priority="5" operator="lessThan">
      <formula>0</formula>
    </cfRule>
  </conditionalFormatting>
  <conditionalFormatting sqref="E3:E118">
    <cfRule type="cellIs" dxfId="88" priority="1" operator="lessThan">
      <formula>0</formula>
    </cfRule>
  </conditionalFormatting>
  <conditionalFormatting sqref="E120:E164">
    <cfRule type="cellIs" dxfId="87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C785-86C1-4412-9D32-114A935187C7}">
  <dimension ref="A1:F164"/>
  <sheetViews>
    <sheetView zoomScale="145" zoomScaleNormal="145" workbookViewId="0">
      <pane ySplit="1" topLeftCell="A20" activePane="bottomLeft" state="frozen"/>
      <selection pane="bottomLeft" activeCell="G9" sqref="G9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61" t="s">
        <v>0</v>
      </c>
      <c r="B1" s="61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46063</v>
      </c>
      <c r="B2" s="88"/>
      <c r="C2" s="88"/>
      <c r="D2" s="88"/>
      <c r="E2" s="88"/>
    </row>
    <row r="3" spans="1:6" x14ac:dyDescent="0.25">
      <c r="A3" s="27">
        <v>1</v>
      </c>
      <c r="B3" s="45" t="s">
        <v>23</v>
      </c>
      <c r="C3" s="45">
        <v>800000</v>
      </c>
      <c r="D3" s="25">
        <v>997499</v>
      </c>
      <c r="E3" s="31">
        <f t="shared" ref="E3:E45" si="0">D3-C3</f>
        <v>197499</v>
      </c>
    </row>
    <row r="4" spans="1:6" x14ac:dyDescent="0.25">
      <c r="A4" s="4">
        <v>2</v>
      </c>
      <c r="B4" s="45" t="s">
        <v>23</v>
      </c>
      <c r="C4" s="45">
        <v>888888</v>
      </c>
      <c r="D4" s="25">
        <v>997499</v>
      </c>
      <c r="E4" s="31">
        <f t="shared" si="0"/>
        <v>108611</v>
      </c>
    </row>
    <row r="5" spans="1:6" x14ac:dyDescent="0.25">
      <c r="A5" s="27">
        <v>3</v>
      </c>
      <c r="B5" s="64" t="s">
        <v>80</v>
      </c>
      <c r="C5" s="25">
        <v>4994991</v>
      </c>
      <c r="D5" s="25">
        <v>6430060</v>
      </c>
      <c r="E5" s="31">
        <f t="shared" si="0"/>
        <v>1435069</v>
      </c>
      <c r="F5" s="63"/>
    </row>
    <row r="6" spans="1:6" x14ac:dyDescent="0.25">
      <c r="A6" s="4">
        <v>4</v>
      </c>
      <c r="B6" s="64" t="s">
        <v>63</v>
      </c>
      <c r="C6" s="25">
        <v>2673998</v>
      </c>
      <c r="D6" s="25">
        <v>3044759</v>
      </c>
      <c r="E6" s="31">
        <f t="shared" si="0"/>
        <v>370761</v>
      </c>
    </row>
    <row r="7" spans="1:6" x14ac:dyDescent="0.25">
      <c r="A7" s="27">
        <v>5</v>
      </c>
      <c r="B7" s="27" t="s">
        <v>27</v>
      </c>
      <c r="C7" s="25">
        <v>2100000</v>
      </c>
      <c r="D7" s="25">
        <v>2270500</v>
      </c>
      <c r="E7" s="31">
        <f t="shared" si="0"/>
        <v>170500</v>
      </c>
    </row>
    <row r="8" spans="1:6" x14ac:dyDescent="0.25">
      <c r="A8" s="4">
        <v>6</v>
      </c>
      <c r="B8" s="4" t="s">
        <v>98</v>
      </c>
      <c r="C8" s="25">
        <v>824999</v>
      </c>
      <c r="D8" s="25">
        <v>942044</v>
      </c>
      <c r="E8" s="31">
        <f t="shared" si="0"/>
        <v>117045</v>
      </c>
    </row>
    <row r="9" spans="1:6" x14ac:dyDescent="0.25">
      <c r="A9" s="27">
        <v>7</v>
      </c>
      <c r="B9" s="62" t="s">
        <v>61</v>
      </c>
      <c r="C9" s="25">
        <v>2200999</v>
      </c>
      <c r="D9" s="25">
        <v>2698005</v>
      </c>
      <c r="E9" s="31">
        <f t="shared" si="0"/>
        <v>497006</v>
      </c>
    </row>
    <row r="10" spans="1:6" x14ac:dyDescent="0.25">
      <c r="A10" s="4">
        <v>8</v>
      </c>
      <c r="B10" s="27" t="s">
        <v>26</v>
      </c>
      <c r="C10" s="25">
        <v>2000000</v>
      </c>
      <c r="D10" s="25">
        <v>2137499</v>
      </c>
      <c r="E10" s="31">
        <f t="shared" si="0"/>
        <v>137499</v>
      </c>
    </row>
    <row r="11" spans="1:6" x14ac:dyDescent="0.25">
      <c r="A11" s="27">
        <v>9</v>
      </c>
      <c r="B11" s="4" t="s">
        <v>73</v>
      </c>
      <c r="C11" s="25">
        <v>1600000</v>
      </c>
      <c r="D11" s="25">
        <v>1710000</v>
      </c>
      <c r="E11" s="31">
        <f t="shared" si="0"/>
        <v>110000</v>
      </c>
    </row>
    <row r="12" spans="1:6" x14ac:dyDescent="0.25">
      <c r="A12" s="4">
        <v>10</v>
      </c>
      <c r="B12" s="4" t="s">
        <v>73</v>
      </c>
      <c r="C12" s="25">
        <v>1600000</v>
      </c>
      <c r="D12" s="25">
        <v>1710000</v>
      </c>
      <c r="E12" s="31">
        <f t="shared" si="0"/>
        <v>110000</v>
      </c>
      <c r="F12" s="57"/>
    </row>
    <row r="13" spans="1:6" x14ac:dyDescent="0.25">
      <c r="A13" s="27">
        <v>11</v>
      </c>
      <c r="B13" s="4" t="s">
        <v>23</v>
      </c>
      <c r="C13" s="25">
        <v>888888</v>
      </c>
      <c r="D13" s="25">
        <v>949999</v>
      </c>
      <c r="E13" s="31">
        <f t="shared" si="0"/>
        <v>61111</v>
      </c>
    </row>
    <row r="14" spans="1:6" x14ac:dyDescent="0.25">
      <c r="A14" s="4">
        <v>12</v>
      </c>
      <c r="B14" s="4" t="s">
        <v>23</v>
      </c>
      <c r="C14" s="25">
        <v>850000</v>
      </c>
      <c r="D14" s="25">
        <v>949999</v>
      </c>
      <c r="E14" s="31">
        <f t="shared" si="0"/>
        <v>99999</v>
      </c>
    </row>
    <row r="15" spans="1:6" x14ac:dyDescent="0.25">
      <c r="A15" s="27">
        <v>13</v>
      </c>
      <c r="B15" s="18" t="s">
        <v>24</v>
      </c>
      <c r="C15" s="25">
        <v>3600000</v>
      </c>
      <c r="D15" s="25">
        <v>3704999</v>
      </c>
      <c r="E15" s="31">
        <f t="shared" si="0"/>
        <v>104999</v>
      </c>
    </row>
    <row r="16" spans="1:6" x14ac:dyDescent="0.25">
      <c r="A16" s="18">
        <v>14</v>
      </c>
      <c r="B16" s="27" t="s">
        <v>61</v>
      </c>
      <c r="C16" s="25">
        <v>2613999</v>
      </c>
      <c r="D16" s="25">
        <v>2880623</v>
      </c>
      <c r="E16" s="31">
        <f t="shared" si="0"/>
        <v>266624</v>
      </c>
    </row>
    <row r="17" spans="1:5" x14ac:dyDescent="0.25">
      <c r="A17" s="27">
        <v>15</v>
      </c>
      <c r="B17" s="4" t="s">
        <v>56</v>
      </c>
      <c r="C17" s="25">
        <v>1000000</v>
      </c>
      <c r="D17" s="25">
        <v>1424999</v>
      </c>
      <c r="E17" s="31">
        <f t="shared" si="0"/>
        <v>424999</v>
      </c>
    </row>
    <row r="18" spans="1:5" x14ac:dyDescent="0.25">
      <c r="A18" s="18">
        <v>16</v>
      </c>
      <c r="B18" s="18" t="s">
        <v>26</v>
      </c>
      <c r="C18" s="25">
        <v>2000000</v>
      </c>
      <c r="D18" s="25">
        <v>2166000</v>
      </c>
      <c r="E18" s="31">
        <f t="shared" si="0"/>
        <v>166000</v>
      </c>
    </row>
    <row r="19" spans="1:5" x14ac:dyDescent="0.25">
      <c r="A19" s="27">
        <v>17</v>
      </c>
      <c r="B19" s="4" t="s">
        <v>16</v>
      </c>
      <c r="C19" s="25">
        <v>680000</v>
      </c>
      <c r="D19" s="25">
        <v>874000</v>
      </c>
      <c r="E19" s="31">
        <f t="shared" si="0"/>
        <v>194000</v>
      </c>
    </row>
    <row r="20" spans="1:5" x14ac:dyDescent="0.25">
      <c r="A20" s="18">
        <v>18</v>
      </c>
      <c r="B20" s="4" t="s">
        <v>16</v>
      </c>
      <c r="C20" s="25">
        <v>650000</v>
      </c>
      <c r="D20" s="25">
        <v>874000</v>
      </c>
      <c r="E20" s="31">
        <f t="shared" si="0"/>
        <v>224000</v>
      </c>
    </row>
    <row r="21" spans="1:5" x14ac:dyDescent="0.25">
      <c r="A21" s="27">
        <v>19</v>
      </c>
      <c r="B21" s="18" t="s">
        <v>26</v>
      </c>
      <c r="C21" s="25">
        <v>2000000</v>
      </c>
      <c r="D21" s="25">
        <v>2137500</v>
      </c>
      <c r="E21" s="31">
        <f t="shared" si="0"/>
        <v>137500</v>
      </c>
    </row>
    <row r="22" spans="1:5" x14ac:dyDescent="0.25">
      <c r="A22" s="27">
        <v>20</v>
      </c>
      <c r="B22" s="65" t="s">
        <v>13</v>
      </c>
      <c r="C22" s="65">
        <v>2299999</v>
      </c>
      <c r="D22" s="65">
        <v>2612500</v>
      </c>
      <c r="E22" s="31">
        <f t="shared" si="0"/>
        <v>312501</v>
      </c>
    </row>
    <row r="23" spans="1:5" x14ac:dyDescent="0.25">
      <c r="A23" s="18">
        <v>21</v>
      </c>
      <c r="B23" s="65" t="s">
        <v>26</v>
      </c>
      <c r="C23" s="65">
        <v>1950000</v>
      </c>
      <c r="D23" s="65">
        <v>2137500</v>
      </c>
      <c r="E23" s="31">
        <f t="shared" si="0"/>
        <v>187500</v>
      </c>
    </row>
    <row r="24" spans="1:5" x14ac:dyDescent="0.25">
      <c r="A24" s="64">
        <v>22</v>
      </c>
      <c r="B24" s="64" t="s">
        <v>13</v>
      </c>
      <c r="C24" s="65">
        <v>2400001</v>
      </c>
      <c r="D24" s="66">
        <v>2660000</v>
      </c>
      <c r="E24" s="31">
        <f t="shared" si="0"/>
        <v>259999</v>
      </c>
    </row>
    <row r="25" spans="1:5" x14ac:dyDescent="0.25">
      <c r="A25" s="18">
        <v>23</v>
      </c>
      <c r="B25" s="64" t="s">
        <v>92</v>
      </c>
      <c r="C25" s="65">
        <v>100000</v>
      </c>
      <c r="D25" s="66">
        <v>260300</v>
      </c>
      <c r="E25" s="31">
        <f t="shared" si="0"/>
        <v>160300</v>
      </c>
    </row>
    <row r="26" spans="1:5" x14ac:dyDescent="0.25">
      <c r="A26" s="64">
        <v>24</v>
      </c>
      <c r="B26" s="4" t="s">
        <v>92</v>
      </c>
      <c r="C26" s="42">
        <v>70000</v>
      </c>
      <c r="D26" s="66">
        <v>260300</v>
      </c>
      <c r="E26" s="31">
        <f t="shared" si="0"/>
        <v>190300</v>
      </c>
    </row>
    <row r="27" spans="1:5" x14ac:dyDescent="0.25">
      <c r="A27" s="27">
        <v>25</v>
      </c>
      <c r="B27" s="64" t="s">
        <v>13</v>
      </c>
      <c r="C27" s="65">
        <v>2400001</v>
      </c>
      <c r="D27" s="66">
        <v>2660000</v>
      </c>
      <c r="E27" s="31">
        <f t="shared" si="0"/>
        <v>259999</v>
      </c>
    </row>
    <row r="28" spans="1:5" x14ac:dyDescent="0.25">
      <c r="A28" s="52">
        <v>26</v>
      </c>
      <c r="B28" s="45" t="s">
        <v>40</v>
      </c>
      <c r="C28" s="45">
        <v>538000</v>
      </c>
      <c r="D28" s="45">
        <v>645908</v>
      </c>
      <c r="E28" s="31">
        <f t="shared" si="0"/>
        <v>107908</v>
      </c>
    </row>
    <row r="29" spans="1:5" x14ac:dyDescent="0.25">
      <c r="A29" s="27">
        <v>27</v>
      </c>
      <c r="B29" s="27" t="s">
        <v>5</v>
      </c>
      <c r="C29" s="25">
        <v>4000000</v>
      </c>
      <c r="D29" s="45">
        <v>4274050</v>
      </c>
      <c r="E29" s="31">
        <f t="shared" si="0"/>
        <v>274050</v>
      </c>
    </row>
    <row r="30" spans="1:5" x14ac:dyDescent="0.25">
      <c r="A30" s="27">
        <v>28</v>
      </c>
      <c r="B30" s="4" t="s">
        <v>27</v>
      </c>
      <c r="C30" s="25">
        <v>2200000</v>
      </c>
      <c r="D30" s="42">
        <v>2364443</v>
      </c>
      <c r="E30" s="31">
        <f t="shared" si="0"/>
        <v>164443</v>
      </c>
    </row>
    <row r="31" spans="1:5" x14ac:dyDescent="0.25">
      <c r="A31" s="52">
        <v>29</v>
      </c>
      <c r="B31" s="27" t="s">
        <v>27</v>
      </c>
      <c r="C31" s="25">
        <v>2000000</v>
      </c>
      <c r="D31" s="42">
        <v>2364443</v>
      </c>
      <c r="E31" s="31">
        <f t="shared" si="0"/>
        <v>364443</v>
      </c>
    </row>
    <row r="32" spans="1:5" x14ac:dyDescent="0.25">
      <c r="A32" s="27">
        <v>30</v>
      </c>
      <c r="B32" s="4" t="s">
        <v>24</v>
      </c>
      <c r="C32" s="25">
        <v>3600000</v>
      </c>
      <c r="D32" s="25">
        <v>3700250</v>
      </c>
      <c r="E32" s="31">
        <f t="shared" si="0"/>
        <v>100250</v>
      </c>
    </row>
    <row r="33" spans="1:5" x14ac:dyDescent="0.25">
      <c r="A33" s="27">
        <v>31</v>
      </c>
      <c r="B33" s="65" t="s">
        <v>26</v>
      </c>
      <c r="C33" s="25">
        <v>2000000</v>
      </c>
      <c r="D33" s="25">
        <v>2137500</v>
      </c>
      <c r="E33" s="25">
        <f t="shared" si="0"/>
        <v>137500</v>
      </c>
    </row>
    <row r="34" spans="1:5" x14ac:dyDescent="0.25">
      <c r="A34" s="52">
        <v>32</v>
      </c>
      <c r="B34" s="4" t="s">
        <v>34</v>
      </c>
      <c r="C34" s="25">
        <v>3500999</v>
      </c>
      <c r="D34" s="25">
        <v>3610000</v>
      </c>
      <c r="E34" s="25">
        <f t="shared" si="0"/>
        <v>109001</v>
      </c>
    </row>
    <row r="35" spans="1:5" x14ac:dyDescent="0.25">
      <c r="A35" s="27">
        <v>33</v>
      </c>
      <c r="B35" s="65" t="s">
        <v>26</v>
      </c>
      <c r="C35" s="25">
        <v>2000000</v>
      </c>
      <c r="D35" s="25">
        <v>2137500</v>
      </c>
      <c r="E35" s="25">
        <f t="shared" si="0"/>
        <v>137500</v>
      </c>
    </row>
    <row r="36" spans="1:5" x14ac:dyDescent="0.25">
      <c r="A36" s="27">
        <v>34</v>
      </c>
      <c r="B36" s="27" t="s">
        <v>23</v>
      </c>
      <c r="C36" s="25">
        <v>850000</v>
      </c>
      <c r="D36" s="25">
        <v>950000</v>
      </c>
      <c r="E36" s="25">
        <f t="shared" si="0"/>
        <v>100000</v>
      </c>
    </row>
    <row r="37" spans="1:5" x14ac:dyDescent="0.25">
      <c r="A37" s="52">
        <v>35</v>
      </c>
      <c r="B37" s="27" t="s">
        <v>23</v>
      </c>
      <c r="C37" s="25">
        <v>800000</v>
      </c>
      <c r="D37" s="25">
        <v>950000</v>
      </c>
      <c r="E37" s="25">
        <f>D37-C37</f>
        <v>150000</v>
      </c>
    </row>
    <row r="38" spans="1:5" x14ac:dyDescent="0.25">
      <c r="A38" s="27">
        <v>36</v>
      </c>
      <c r="B38" s="65" t="s">
        <v>26</v>
      </c>
      <c r="C38" s="25">
        <v>2000000</v>
      </c>
      <c r="D38" s="55">
        <v>2137500</v>
      </c>
      <c r="E38" s="25">
        <f t="shared" si="0"/>
        <v>137500</v>
      </c>
    </row>
    <row r="39" spans="1:5" x14ac:dyDescent="0.25">
      <c r="A39" s="27">
        <v>37</v>
      </c>
      <c r="B39" s="65" t="s">
        <v>26</v>
      </c>
      <c r="C39" s="25">
        <v>2000000</v>
      </c>
      <c r="D39" s="55">
        <v>2137500</v>
      </c>
      <c r="E39" s="25">
        <f t="shared" si="0"/>
        <v>137500</v>
      </c>
    </row>
    <row r="40" spans="1:5" x14ac:dyDescent="0.25">
      <c r="A40" s="52">
        <v>38</v>
      </c>
      <c r="B40" s="65" t="s">
        <v>26</v>
      </c>
      <c r="C40" s="25">
        <v>2000000</v>
      </c>
      <c r="D40" s="50">
        <v>2166000</v>
      </c>
      <c r="E40" s="25">
        <f t="shared" si="0"/>
        <v>166000</v>
      </c>
    </row>
    <row r="41" spans="1:5" x14ac:dyDescent="0.25">
      <c r="A41" s="27">
        <v>39</v>
      </c>
      <c r="B41" s="65" t="s">
        <v>26</v>
      </c>
      <c r="C41" s="25">
        <v>2000000</v>
      </c>
      <c r="D41" s="58">
        <v>2132750</v>
      </c>
      <c r="E41" s="25">
        <f t="shared" si="0"/>
        <v>132750</v>
      </c>
    </row>
    <row r="42" spans="1:5" x14ac:dyDescent="0.25">
      <c r="A42" s="27">
        <v>40</v>
      </c>
      <c r="B42" s="58" t="s">
        <v>34</v>
      </c>
      <c r="C42" s="58">
        <v>3450000</v>
      </c>
      <c r="D42" s="25">
        <v>3610000</v>
      </c>
      <c r="E42" s="25">
        <f t="shared" si="0"/>
        <v>160000</v>
      </c>
    </row>
    <row r="43" spans="1:5" x14ac:dyDescent="0.25">
      <c r="A43" s="52">
        <v>41</v>
      </c>
      <c r="B43" s="4" t="s">
        <v>34</v>
      </c>
      <c r="C43" s="25">
        <v>3500000</v>
      </c>
      <c r="D43" s="25">
        <v>3610000</v>
      </c>
      <c r="E43" s="25">
        <f t="shared" si="0"/>
        <v>110000</v>
      </c>
    </row>
    <row r="44" spans="1:5" x14ac:dyDescent="0.25">
      <c r="A44" s="27">
        <v>42</v>
      </c>
      <c r="B44" s="65" t="s">
        <v>26</v>
      </c>
      <c r="C44" s="25">
        <v>1950000</v>
      </c>
      <c r="D44" s="58">
        <v>2132750</v>
      </c>
      <c r="E44" s="25">
        <f t="shared" si="0"/>
        <v>182750</v>
      </c>
    </row>
    <row r="45" spans="1:5" x14ac:dyDescent="0.25">
      <c r="A45" s="67">
        <v>43</v>
      </c>
      <c r="B45" s="65" t="s">
        <v>26</v>
      </c>
      <c r="C45" s="6">
        <v>2000000</v>
      </c>
      <c r="D45" s="58">
        <v>2132750</v>
      </c>
      <c r="E45" s="25">
        <f t="shared" si="0"/>
        <v>132750</v>
      </c>
    </row>
    <row r="46" spans="1:5" x14ac:dyDescent="0.25">
      <c r="A46" s="89" t="s">
        <v>8</v>
      </c>
      <c r="B46" s="89"/>
      <c r="C46" s="89"/>
      <c r="D46" s="89"/>
      <c r="E46" s="8">
        <v>0</v>
      </c>
    </row>
    <row r="47" spans="1:5" x14ac:dyDescent="0.25">
      <c r="A47" s="89" t="s">
        <v>9</v>
      </c>
      <c r="B47" s="89"/>
      <c r="C47" s="89"/>
      <c r="D47" s="89"/>
      <c r="E47" s="8">
        <f>SUM(E3:E45)-E46</f>
        <v>9108166</v>
      </c>
    </row>
    <row r="48" spans="1:5" x14ac:dyDescent="0.25">
      <c r="A48" s="39"/>
      <c r="B48" s="39"/>
      <c r="C48" s="39"/>
      <c r="D48" s="39"/>
      <c r="E48" s="38"/>
    </row>
    <row r="49" spans="1:5" x14ac:dyDescent="0.25">
      <c r="A49" s="28"/>
      <c r="C49" s="6"/>
      <c r="D49" s="6"/>
      <c r="E49" s="25"/>
    </row>
    <row r="50" spans="1:5" x14ac:dyDescent="0.25">
      <c r="A50" s="28"/>
      <c r="B50" s="1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8"/>
      <c r="C52" s="6"/>
      <c r="D52" s="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26"/>
      <c r="B54" s="26"/>
      <c r="C54" s="26"/>
      <c r="D54" s="26"/>
      <c r="E54" s="25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C72" s="6"/>
      <c r="D72" s="6"/>
      <c r="E72" s="6"/>
    </row>
    <row r="73" spans="1:5" x14ac:dyDescent="0.25">
      <c r="A73" s="18"/>
      <c r="B73" s="10"/>
      <c r="C73" s="6"/>
      <c r="D73" s="6"/>
      <c r="E73" s="6"/>
    </row>
    <row r="74" spans="1:5" x14ac:dyDescent="0.25">
      <c r="A74" s="26"/>
      <c r="B74" s="26"/>
      <c r="C74" s="26"/>
      <c r="D74" s="26"/>
      <c r="E74" s="25"/>
    </row>
    <row r="75" spans="1:5" x14ac:dyDescent="0.25">
      <c r="A75" s="26"/>
      <c r="B75" s="26"/>
      <c r="C75" s="26"/>
      <c r="D75" s="26"/>
      <c r="E75" s="25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C118" s="6"/>
      <c r="D118" s="6"/>
      <c r="E118" s="6"/>
    </row>
    <row r="119" spans="1:5" x14ac:dyDescent="0.25">
      <c r="A119" s="15"/>
      <c r="B119" s="15"/>
      <c r="C119" s="15"/>
      <c r="D119" s="15"/>
      <c r="E119" s="15"/>
    </row>
    <row r="120" spans="1:5" x14ac:dyDescent="0.25">
      <c r="B120" s="9"/>
      <c r="C120" s="9"/>
      <c r="D120" s="9"/>
      <c r="E120" s="8"/>
    </row>
    <row r="121" spans="1:5" x14ac:dyDescent="0.25">
      <c r="B121" s="9"/>
      <c r="C121" s="9"/>
      <c r="D121" s="9"/>
      <c r="E121" s="8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C143" s="6"/>
      <c r="D143" s="6"/>
      <c r="E143" s="6"/>
    </row>
    <row r="144" spans="2:5" x14ac:dyDescent="0.25">
      <c r="B144" s="10"/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C152" s="6"/>
      <c r="D152" s="6"/>
      <c r="E152" s="6"/>
    </row>
    <row r="153" spans="2:5" x14ac:dyDescent="0.25">
      <c r="B153" s="10"/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C157" s="6"/>
      <c r="D157" s="6"/>
      <c r="E157" s="6"/>
    </row>
    <row r="158" spans="2:5" x14ac:dyDescent="0.25">
      <c r="B158" s="10"/>
      <c r="C158" s="6"/>
      <c r="D158" s="6"/>
      <c r="E158" s="6"/>
    </row>
    <row r="159" spans="2:5" x14ac:dyDescent="0.25"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B161" s="10"/>
      <c r="C161" s="6"/>
      <c r="D161" s="6"/>
      <c r="E161" s="6"/>
    </row>
    <row r="162" spans="2:5" x14ac:dyDescent="0.25">
      <c r="C162" s="6"/>
      <c r="D162" s="6"/>
      <c r="E162" s="6"/>
    </row>
    <row r="163" spans="2:5" x14ac:dyDescent="0.25">
      <c r="B163" s="89"/>
      <c r="C163" s="89"/>
      <c r="D163" s="89"/>
      <c r="E163" s="8"/>
    </row>
    <row r="164" spans="2:5" x14ac:dyDescent="0.25">
      <c r="B164" s="89"/>
      <c r="C164" s="89"/>
      <c r="D164" s="89"/>
      <c r="E164" s="8"/>
    </row>
  </sheetData>
  <autoFilter ref="A1:E11" xr:uid="{9ADBE6C4-3C86-4FEF-95A3-A3EEEF0F0F99}"/>
  <mergeCells count="5">
    <mergeCell ref="A2:E2"/>
    <mergeCell ref="B163:D163"/>
    <mergeCell ref="B164:D164"/>
    <mergeCell ref="A46:D46"/>
    <mergeCell ref="A47:D47"/>
  </mergeCells>
  <conditionalFormatting sqref="E1">
    <cfRule type="cellIs" dxfId="86" priority="4" operator="lessThan">
      <formula>0</formula>
    </cfRule>
  </conditionalFormatting>
  <conditionalFormatting sqref="E3:E118">
    <cfRule type="cellIs" dxfId="85" priority="1" operator="lessThan">
      <formula>0</formula>
    </cfRule>
  </conditionalFormatting>
  <conditionalFormatting sqref="E120:E164">
    <cfRule type="cellIs" dxfId="84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4779A-39DD-4ECB-A08B-36080D215F21}">
  <dimension ref="A1:F163"/>
  <sheetViews>
    <sheetView zoomScale="145" zoomScaleNormal="145" workbookViewId="0">
      <pane ySplit="1" topLeftCell="A2" activePane="bottomLeft" state="frozen"/>
      <selection pane="bottomLeft" activeCell="H16" sqref="H16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56" t="s">
        <v>0</v>
      </c>
      <c r="B1" s="56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46062</v>
      </c>
      <c r="B2" s="88"/>
      <c r="C2" s="88"/>
      <c r="D2" s="88"/>
      <c r="E2" s="88"/>
    </row>
    <row r="3" spans="1:6" x14ac:dyDescent="0.25">
      <c r="A3" s="27">
        <v>1</v>
      </c>
      <c r="B3" s="45" t="s">
        <v>34</v>
      </c>
      <c r="C3" s="45">
        <v>3450000</v>
      </c>
      <c r="D3" s="25">
        <v>3610000</v>
      </c>
      <c r="E3" s="31">
        <f t="shared" ref="E3:E14" si="0">D3-C3</f>
        <v>160000</v>
      </c>
    </row>
    <row r="4" spans="1:6" x14ac:dyDescent="0.25">
      <c r="A4" s="4">
        <v>2</v>
      </c>
      <c r="B4" s="45" t="s">
        <v>34</v>
      </c>
      <c r="C4" s="45">
        <v>3600000</v>
      </c>
      <c r="D4" s="25">
        <v>3610000</v>
      </c>
      <c r="E4" s="31">
        <f t="shared" si="0"/>
        <v>10000</v>
      </c>
    </row>
    <row r="5" spans="1:6" x14ac:dyDescent="0.25">
      <c r="A5" s="27">
        <v>3</v>
      </c>
      <c r="B5" s="60" t="s">
        <v>61</v>
      </c>
      <c r="C5" s="25">
        <v>2851998</v>
      </c>
      <c r="D5" s="25">
        <f>5396000</f>
        <v>5396000</v>
      </c>
      <c r="E5" s="31">
        <f t="shared" si="0"/>
        <v>2544002</v>
      </c>
    </row>
    <row r="6" spans="1:6" x14ac:dyDescent="0.25">
      <c r="A6" s="4">
        <v>4</v>
      </c>
      <c r="B6" s="60" t="s">
        <v>10</v>
      </c>
      <c r="C6" s="25">
        <v>17750000</v>
      </c>
      <c r="D6" s="25">
        <v>17860000</v>
      </c>
      <c r="E6" s="31">
        <f t="shared" si="0"/>
        <v>110000</v>
      </c>
    </row>
    <row r="7" spans="1:6" x14ac:dyDescent="0.25">
      <c r="A7" s="27">
        <v>5</v>
      </c>
      <c r="B7" s="27" t="s">
        <v>26</v>
      </c>
      <c r="C7" s="25">
        <v>2000000</v>
      </c>
      <c r="D7" s="25">
        <v>2175500</v>
      </c>
      <c r="E7" s="31">
        <f t="shared" si="0"/>
        <v>175500</v>
      </c>
    </row>
    <row r="8" spans="1:6" x14ac:dyDescent="0.25">
      <c r="A8" s="4">
        <v>6</v>
      </c>
      <c r="B8" s="4" t="s">
        <v>56</v>
      </c>
      <c r="C8" s="25">
        <v>1000000</v>
      </c>
      <c r="D8" s="25">
        <v>1225500</v>
      </c>
      <c r="E8" s="31">
        <f t="shared" si="0"/>
        <v>225500</v>
      </c>
    </row>
    <row r="9" spans="1:6" x14ac:dyDescent="0.25">
      <c r="A9" s="27">
        <v>7</v>
      </c>
      <c r="B9" s="62" t="s">
        <v>80</v>
      </c>
      <c r="C9" s="25">
        <v>633334</v>
      </c>
      <c r="D9" s="25">
        <v>790530</v>
      </c>
      <c r="E9" s="31">
        <f t="shared" si="0"/>
        <v>157196</v>
      </c>
    </row>
    <row r="10" spans="1:6" x14ac:dyDescent="0.25">
      <c r="A10" s="4">
        <v>8</v>
      </c>
      <c r="B10" s="27" t="s">
        <v>49</v>
      </c>
      <c r="C10" s="25">
        <v>300000</v>
      </c>
      <c r="D10" s="25">
        <v>465000</v>
      </c>
      <c r="E10" s="31">
        <f t="shared" si="0"/>
        <v>165000</v>
      </c>
    </row>
    <row r="11" spans="1:6" x14ac:dyDescent="0.25">
      <c r="A11" s="27">
        <v>9</v>
      </c>
      <c r="B11" s="4" t="s">
        <v>40</v>
      </c>
      <c r="C11" s="25">
        <v>935998</v>
      </c>
      <c r="D11" s="25">
        <v>1240712</v>
      </c>
      <c r="E11" s="31">
        <f t="shared" si="0"/>
        <v>304714</v>
      </c>
    </row>
    <row r="12" spans="1:6" x14ac:dyDescent="0.25">
      <c r="A12" s="4">
        <v>10</v>
      </c>
      <c r="B12" s="4" t="s">
        <v>43</v>
      </c>
      <c r="C12" s="25">
        <v>900000</v>
      </c>
      <c r="D12" s="25">
        <v>949998</v>
      </c>
      <c r="E12" s="31">
        <f t="shared" si="0"/>
        <v>49998</v>
      </c>
      <c r="F12" s="57"/>
    </row>
    <row r="13" spans="1:6" x14ac:dyDescent="0.25">
      <c r="A13" s="27">
        <v>11</v>
      </c>
      <c r="B13" s="4" t="s">
        <v>43</v>
      </c>
      <c r="C13" s="25">
        <v>900000</v>
      </c>
      <c r="D13" s="25">
        <v>949998</v>
      </c>
      <c r="E13" s="31">
        <f t="shared" si="0"/>
        <v>49998</v>
      </c>
    </row>
    <row r="14" spans="1:6" x14ac:dyDescent="0.25">
      <c r="A14" s="4">
        <v>12</v>
      </c>
      <c r="B14" s="4" t="s">
        <v>56</v>
      </c>
      <c r="C14" s="25">
        <v>1210000</v>
      </c>
      <c r="D14" s="25">
        <v>1444000</v>
      </c>
      <c r="E14" s="31">
        <f t="shared" si="0"/>
        <v>234000</v>
      </c>
    </row>
    <row r="15" spans="1:6" x14ac:dyDescent="0.25">
      <c r="A15" s="89" t="s">
        <v>8</v>
      </c>
      <c r="B15" s="89"/>
      <c r="C15" s="89"/>
      <c r="D15" s="89"/>
      <c r="E15" s="8">
        <v>179375</v>
      </c>
    </row>
    <row r="16" spans="1:6" x14ac:dyDescent="0.25">
      <c r="A16" s="89" t="s">
        <v>9</v>
      </c>
      <c r="B16" s="89"/>
      <c r="C16" s="89"/>
      <c r="D16" s="89"/>
      <c r="E16" s="8">
        <f>SUM(E3:E14)-E15</f>
        <v>4006533</v>
      </c>
    </row>
    <row r="17" spans="1:5" x14ac:dyDescent="0.25">
      <c r="A17" s="27"/>
      <c r="C17" s="25"/>
      <c r="D17" s="25"/>
      <c r="E17" s="31"/>
    </row>
    <row r="18" spans="1:5" x14ac:dyDescent="0.25">
      <c r="A18" s="18"/>
      <c r="B18" s="18"/>
      <c r="C18" s="25"/>
      <c r="D18" s="25"/>
      <c r="E18" s="31"/>
    </row>
    <row r="19" spans="1:5" x14ac:dyDescent="0.25">
      <c r="A19" s="27"/>
      <c r="C19" s="25"/>
      <c r="D19" s="25"/>
      <c r="E19" s="31"/>
    </row>
    <row r="20" spans="1:5" x14ac:dyDescent="0.25">
      <c r="A20" s="18"/>
      <c r="C20" s="25"/>
      <c r="D20" s="25"/>
      <c r="E20" s="31"/>
    </row>
    <row r="21" spans="1:5" x14ac:dyDescent="0.25">
      <c r="A21" s="27"/>
      <c r="C21" s="25"/>
      <c r="D21" s="25"/>
      <c r="E21" s="31"/>
    </row>
    <row r="22" spans="1:5" x14ac:dyDescent="0.25">
      <c r="A22" s="9"/>
      <c r="B22" s="9"/>
      <c r="C22" s="9"/>
      <c r="D22" s="9"/>
      <c r="E22" s="8"/>
    </row>
    <row r="23" spans="1:5" x14ac:dyDescent="0.25">
      <c r="A23" s="9"/>
      <c r="B23" s="9"/>
      <c r="C23" s="9"/>
      <c r="D23" s="9"/>
      <c r="E23" s="8"/>
    </row>
    <row r="24" spans="1:5" x14ac:dyDescent="0.25">
      <c r="A24" s="27"/>
      <c r="C24" s="42"/>
      <c r="D24" s="25"/>
      <c r="E24" s="6"/>
    </row>
    <row r="25" spans="1:5" x14ac:dyDescent="0.25">
      <c r="A25" s="27"/>
      <c r="C25" s="32"/>
      <c r="D25" s="25"/>
      <c r="E25" s="6"/>
    </row>
    <row r="26" spans="1:5" x14ac:dyDescent="0.25">
      <c r="A26" s="52"/>
      <c r="C26" s="42"/>
      <c r="D26" s="25"/>
      <c r="E26" s="6"/>
    </row>
    <row r="27" spans="1:5" x14ac:dyDescent="0.25">
      <c r="A27" s="27"/>
      <c r="C27" s="45"/>
      <c r="D27" s="25"/>
      <c r="E27" s="6"/>
    </row>
    <row r="28" spans="1:5" x14ac:dyDescent="0.25">
      <c r="A28" s="52"/>
      <c r="B28" s="45"/>
      <c r="C28" s="45"/>
      <c r="D28" s="45"/>
      <c r="E28" s="6"/>
    </row>
    <row r="29" spans="1:5" x14ac:dyDescent="0.25">
      <c r="A29" s="27"/>
      <c r="B29" s="27"/>
      <c r="C29" s="25"/>
      <c r="D29" s="45"/>
      <c r="E29" s="6"/>
    </row>
    <row r="30" spans="1:5" x14ac:dyDescent="0.25">
      <c r="A30" s="27"/>
      <c r="C30" s="25"/>
      <c r="D30" s="42"/>
      <c r="E30" s="6"/>
    </row>
    <row r="31" spans="1:5" x14ac:dyDescent="0.25">
      <c r="B31" s="27"/>
      <c r="C31" s="25"/>
      <c r="D31" s="25"/>
      <c r="E31" s="6"/>
    </row>
    <row r="32" spans="1:5" x14ac:dyDescent="0.25">
      <c r="A32" s="18"/>
      <c r="C32" s="25"/>
      <c r="D32" s="25"/>
      <c r="E32" s="6"/>
    </row>
    <row r="33" spans="1:5" x14ac:dyDescent="0.25">
      <c r="A33" s="27"/>
      <c r="C33" s="25"/>
      <c r="D33" s="25"/>
      <c r="E33" s="25"/>
    </row>
    <row r="34" spans="1:5" x14ac:dyDescent="0.25">
      <c r="A34" s="27"/>
      <c r="C34" s="25"/>
      <c r="D34" s="25"/>
      <c r="E34" s="25"/>
    </row>
    <row r="35" spans="1:5" x14ac:dyDescent="0.25">
      <c r="A35" s="52"/>
      <c r="B35" s="27"/>
      <c r="C35" s="25"/>
      <c r="D35" s="25"/>
      <c r="E35" s="25"/>
    </row>
    <row r="36" spans="1:5" x14ac:dyDescent="0.25">
      <c r="A36" s="27"/>
      <c r="B36" s="27"/>
      <c r="C36" s="25"/>
      <c r="D36" s="25"/>
      <c r="E36" s="25"/>
    </row>
    <row r="37" spans="1:5" x14ac:dyDescent="0.25">
      <c r="A37" s="52"/>
      <c r="B37" s="27"/>
      <c r="C37" s="25"/>
      <c r="D37" s="29"/>
      <c r="E37" s="25"/>
    </row>
    <row r="38" spans="1:5" x14ac:dyDescent="0.25">
      <c r="A38" s="27"/>
      <c r="B38" s="55"/>
      <c r="C38" s="25"/>
      <c r="D38" s="55"/>
      <c r="E38" s="25"/>
    </row>
    <row r="39" spans="1:5" x14ac:dyDescent="0.25">
      <c r="A39" s="27"/>
      <c r="B39" s="55"/>
      <c r="C39" s="25"/>
      <c r="D39" s="55"/>
      <c r="E39" s="25"/>
    </row>
    <row r="40" spans="1:5" x14ac:dyDescent="0.25">
      <c r="B40" s="50"/>
      <c r="C40" s="25"/>
      <c r="D40" s="50"/>
      <c r="E40" s="25"/>
    </row>
    <row r="41" spans="1:5" x14ac:dyDescent="0.25">
      <c r="A41" s="58"/>
      <c r="B41" s="58"/>
      <c r="C41" s="58"/>
      <c r="D41" s="58"/>
      <c r="E41" s="59"/>
    </row>
    <row r="42" spans="1:5" x14ac:dyDescent="0.25">
      <c r="A42" s="58"/>
      <c r="B42" s="58"/>
      <c r="C42" s="58"/>
      <c r="D42" s="58"/>
      <c r="E42" s="59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15:D15"/>
    <mergeCell ref="A16:D16"/>
  </mergeCells>
  <conditionalFormatting sqref="E1">
    <cfRule type="cellIs" dxfId="83" priority="5" operator="lessThan">
      <formula>0</formula>
    </cfRule>
  </conditionalFormatting>
  <conditionalFormatting sqref="E3:E117">
    <cfRule type="cellIs" dxfId="82" priority="1" operator="lessThan">
      <formula>0</formula>
    </cfRule>
  </conditionalFormatting>
  <conditionalFormatting sqref="E119:E163">
    <cfRule type="cellIs" dxfId="81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11E3B-823F-4AFC-923D-46ECDB330425}">
  <dimension ref="A1:F163"/>
  <sheetViews>
    <sheetView zoomScale="145" zoomScaleNormal="145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56" t="s">
        <v>0</v>
      </c>
      <c r="B1" s="56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46061</v>
      </c>
      <c r="B2" s="88"/>
      <c r="C2" s="88"/>
      <c r="D2" s="88"/>
      <c r="E2" s="88"/>
    </row>
    <row r="3" spans="1:6" x14ac:dyDescent="0.25">
      <c r="A3" s="27">
        <v>1</v>
      </c>
      <c r="B3" s="45" t="s">
        <v>43</v>
      </c>
      <c r="C3" s="45">
        <v>750000</v>
      </c>
      <c r="D3" s="25">
        <v>883499</v>
      </c>
      <c r="E3" s="31">
        <f t="shared" ref="E3:E21" si="0">D3-C3</f>
        <v>133499</v>
      </c>
    </row>
    <row r="4" spans="1:6" x14ac:dyDescent="0.25">
      <c r="A4" s="4">
        <v>2</v>
      </c>
      <c r="B4" s="45" t="s">
        <v>53</v>
      </c>
      <c r="C4" s="45">
        <v>600000</v>
      </c>
      <c r="D4" s="25">
        <v>684000</v>
      </c>
      <c r="E4" s="31">
        <f t="shared" si="0"/>
        <v>84000</v>
      </c>
    </row>
    <row r="5" spans="1:6" x14ac:dyDescent="0.25">
      <c r="A5" s="18">
        <v>3</v>
      </c>
      <c r="B5" s="27" t="s">
        <v>27</v>
      </c>
      <c r="C5" s="25">
        <v>2200000</v>
      </c>
      <c r="D5" s="25">
        <v>2270500</v>
      </c>
      <c r="E5" s="31">
        <f t="shared" si="0"/>
        <v>70500</v>
      </c>
    </row>
    <row r="6" spans="1:6" x14ac:dyDescent="0.25">
      <c r="A6" s="27">
        <v>4</v>
      </c>
      <c r="B6" s="27" t="s">
        <v>27</v>
      </c>
      <c r="C6" s="25">
        <v>2200000</v>
      </c>
      <c r="D6" s="25">
        <v>2280000</v>
      </c>
      <c r="E6" s="31">
        <f t="shared" si="0"/>
        <v>80000</v>
      </c>
    </row>
    <row r="7" spans="1:6" x14ac:dyDescent="0.25">
      <c r="A7" s="27">
        <v>5</v>
      </c>
      <c r="B7" s="27" t="s">
        <v>27</v>
      </c>
      <c r="C7" s="25">
        <v>2100000</v>
      </c>
      <c r="D7" s="25">
        <v>2422500</v>
      </c>
      <c r="E7" s="31">
        <f t="shared" si="0"/>
        <v>322500</v>
      </c>
    </row>
    <row r="8" spans="1:6" x14ac:dyDescent="0.25">
      <c r="A8" s="27">
        <v>6</v>
      </c>
      <c r="B8" s="4" t="s">
        <v>51</v>
      </c>
      <c r="C8" s="25">
        <v>1900000</v>
      </c>
      <c r="D8" s="25">
        <v>2137500</v>
      </c>
      <c r="E8" s="31">
        <f t="shared" si="0"/>
        <v>237500</v>
      </c>
    </row>
    <row r="9" spans="1:6" x14ac:dyDescent="0.25">
      <c r="A9" s="4">
        <v>7</v>
      </c>
      <c r="B9" s="52" t="s">
        <v>97</v>
      </c>
      <c r="C9" s="25">
        <v>630000</v>
      </c>
      <c r="D9" s="25">
        <v>744315</v>
      </c>
      <c r="E9" s="31">
        <f t="shared" si="0"/>
        <v>114315</v>
      </c>
    </row>
    <row r="10" spans="1:6" x14ac:dyDescent="0.25">
      <c r="A10" s="18">
        <v>8</v>
      </c>
      <c r="B10" s="27" t="s">
        <v>27</v>
      </c>
      <c r="C10" s="25">
        <v>2100000</v>
      </c>
      <c r="D10" s="25">
        <v>2269550</v>
      </c>
      <c r="E10" s="31">
        <f t="shared" si="0"/>
        <v>169550</v>
      </c>
    </row>
    <row r="11" spans="1:6" x14ac:dyDescent="0.25">
      <c r="A11" s="27">
        <v>9</v>
      </c>
      <c r="B11" s="4" t="s">
        <v>93</v>
      </c>
      <c r="C11" s="25">
        <v>20000</v>
      </c>
      <c r="D11" s="25">
        <v>218500</v>
      </c>
      <c r="E11" s="31">
        <f t="shared" si="0"/>
        <v>198500</v>
      </c>
    </row>
    <row r="12" spans="1:6" x14ac:dyDescent="0.25">
      <c r="A12" s="18">
        <v>10</v>
      </c>
      <c r="B12" s="4" t="s">
        <v>51</v>
      </c>
      <c r="C12" s="25">
        <v>2099999</v>
      </c>
      <c r="D12" s="25">
        <v>2137500</v>
      </c>
      <c r="E12" s="31">
        <f t="shared" si="0"/>
        <v>37501</v>
      </c>
      <c r="F12" s="57"/>
    </row>
    <row r="13" spans="1:6" x14ac:dyDescent="0.25">
      <c r="A13" s="27">
        <v>11</v>
      </c>
      <c r="B13" s="4" t="s">
        <v>51</v>
      </c>
      <c r="C13" s="25">
        <v>2100000</v>
      </c>
      <c r="D13" s="25">
        <v>2375000</v>
      </c>
      <c r="E13" s="31">
        <f t="shared" si="0"/>
        <v>275000</v>
      </c>
    </row>
    <row r="14" spans="1:6" x14ac:dyDescent="0.25">
      <c r="A14" s="18">
        <v>12</v>
      </c>
      <c r="B14" s="18" t="s">
        <v>48</v>
      </c>
      <c r="C14" s="25">
        <v>1000000</v>
      </c>
      <c r="D14" s="25">
        <v>128253</v>
      </c>
      <c r="E14" s="31">
        <f t="shared" si="0"/>
        <v>-871747</v>
      </c>
    </row>
    <row r="15" spans="1:6" x14ac:dyDescent="0.25">
      <c r="A15" s="27">
        <v>13</v>
      </c>
      <c r="B15" s="18" t="s">
        <v>80</v>
      </c>
      <c r="C15" s="25">
        <v>620000</v>
      </c>
      <c r="D15" s="25">
        <v>790900</v>
      </c>
      <c r="E15" s="31">
        <f t="shared" si="0"/>
        <v>170900</v>
      </c>
    </row>
    <row r="16" spans="1:6" x14ac:dyDescent="0.25">
      <c r="A16" s="18">
        <v>14</v>
      </c>
      <c r="B16" s="27" t="s">
        <v>27</v>
      </c>
      <c r="C16" s="25">
        <v>2150000</v>
      </c>
      <c r="D16" s="25">
        <v>2239888</v>
      </c>
      <c r="E16" s="31">
        <f t="shared" si="0"/>
        <v>89888</v>
      </c>
    </row>
    <row r="17" spans="1:5" x14ac:dyDescent="0.25">
      <c r="A17" s="27">
        <v>15</v>
      </c>
      <c r="B17" s="4" t="s">
        <v>16</v>
      </c>
      <c r="C17" s="25">
        <v>725000</v>
      </c>
      <c r="D17" s="25">
        <v>855000</v>
      </c>
      <c r="E17" s="31">
        <f t="shared" si="0"/>
        <v>130000</v>
      </c>
    </row>
    <row r="18" spans="1:5" x14ac:dyDescent="0.25">
      <c r="A18" s="18">
        <v>16</v>
      </c>
      <c r="B18" s="18" t="s">
        <v>48</v>
      </c>
      <c r="C18" s="25">
        <v>1000001</v>
      </c>
      <c r="D18" s="25">
        <v>1045000</v>
      </c>
      <c r="E18" s="31">
        <f t="shared" si="0"/>
        <v>44999</v>
      </c>
    </row>
    <row r="19" spans="1:5" x14ac:dyDescent="0.25">
      <c r="A19" s="27">
        <v>17</v>
      </c>
      <c r="B19" s="4" t="s">
        <v>98</v>
      </c>
      <c r="C19" s="25">
        <v>871999</v>
      </c>
      <c r="D19" s="25">
        <v>1057260</v>
      </c>
      <c r="E19" s="31">
        <f t="shared" si="0"/>
        <v>185261</v>
      </c>
    </row>
    <row r="20" spans="1:5" x14ac:dyDescent="0.25">
      <c r="A20" s="18">
        <v>18</v>
      </c>
      <c r="B20" s="4" t="s">
        <v>62</v>
      </c>
      <c r="C20" s="25">
        <v>1425998</v>
      </c>
      <c r="D20" s="25">
        <v>1691000</v>
      </c>
      <c r="E20" s="31">
        <f t="shared" si="0"/>
        <v>265002</v>
      </c>
    </row>
    <row r="21" spans="1:5" x14ac:dyDescent="0.25">
      <c r="A21" s="27">
        <v>19</v>
      </c>
      <c r="B21" s="4" t="s">
        <v>26</v>
      </c>
      <c r="C21" s="25">
        <v>2000000</v>
      </c>
      <c r="D21" s="25">
        <v>2184050</v>
      </c>
      <c r="E21" s="31">
        <f t="shared" si="0"/>
        <v>184050</v>
      </c>
    </row>
    <row r="22" spans="1:5" x14ac:dyDescent="0.25">
      <c r="A22" s="89" t="s">
        <v>8</v>
      </c>
      <c r="B22" s="89"/>
      <c r="C22" s="89"/>
      <c r="D22" s="89"/>
      <c r="E22" s="8">
        <v>229499</v>
      </c>
    </row>
    <row r="23" spans="1:5" x14ac:dyDescent="0.25">
      <c r="A23" s="89" t="s">
        <v>9</v>
      </c>
      <c r="B23" s="89"/>
      <c r="C23" s="89"/>
      <c r="D23" s="89"/>
      <c r="E23" s="8">
        <f>SUM(E3:E21)-E22</f>
        <v>1691719</v>
      </c>
    </row>
    <row r="24" spans="1:5" x14ac:dyDescent="0.25">
      <c r="A24" s="27"/>
      <c r="C24" s="42"/>
      <c r="D24" s="25"/>
      <c r="E24" s="6"/>
    </row>
    <row r="25" spans="1:5" x14ac:dyDescent="0.25">
      <c r="A25" s="27"/>
      <c r="C25" s="32"/>
      <c r="D25" s="25"/>
      <c r="E25" s="6"/>
    </row>
    <row r="26" spans="1:5" x14ac:dyDescent="0.25">
      <c r="A26" s="52"/>
      <c r="C26" s="42"/>
      <c r="D26" s="25"/>
      <c r="E26" s="6"/>
    </row>
    <row r="27" spans="1:5" x14ac:dyDescent="0.25">
      <c r="A27" s="27"/>
      <c r="C27" s="45"/>
      <c r="D27" s="25"/>
      <c r="E27" s="6"/>
    </row>
    <row r="28" spans="1:5" x14ac:dyDescent="0.25">
      <c r="A28" s="52"/>
      <c r="B28" s="45"/>
      <c r="C28" s="45"/>
      <c r="D28" s="45"/>
      <c r="E28" s="6"/>
    </row>
    <row r="29" spans="1:5" x14ac:dyDescent="0.25">
      <c r="A29" s="27"/>
      <c r="B29" s="27"/>
      <c r="C29" s="25"/>
      <c r="D29" s="45"/>
      <c r="E29" s="6"/>
    </row>
    <row r="30" spans="1:5" x14ac:dyDescent="0.25">
      <c r="A30" s="27"/>
      <c r="C30" s="25"/>
      <c r="D30" s="42"/>
      <c r="E30" s="6"/>
    </row>
    <row r="31" spans="1:5" x14ac:dyDescent="0.25">
      <c r="B31" s="27"/>
      <c r="C31" s="25"/>
      <c r="D31" s="25"/>
      <c r="E31" s="6"/>
    </row>
    <row r="32" spans="1:5" x14ac:dyDescent="0.25">
      <c r="A32" s="18"/>
      <c r="C32" s="25"/>
      <c r="D32" s="25"/>
      <c r="E32" s="6"/>
    </row>
    <row r="33" spans="1:5" x14ac:dyDescent="0.25">
      <c r="A33" s="27"/>
      <c r="C33" s="25"/>
      <c r="D33" s="25"/>
      <c r="E33" s="25"/>
    </row>
    <row r="34" spans="1:5" x14ac:dyDescent="0.25">
      <c r="A34" s="27"/>
      <c r="C34" s="25"/>
      <c r="D34" s="25"/>
      <c r="E34" s="25"/>
    </row>
    <row r="35" spans="1:5" x14ac:dyDescent="0.25">
      <c r="A35" s="52"/>
      <c r="B35" s="27"/>
      <c r="C35" s="25"/>
      <c r="D35" s="25"/>
      <c r="E35" s="25"/>
    </row>
    <row r="36" spans="1:5" x14ac:dyDescent="0.25">
      <c r="A36" s="27"/>
      <c r="B36" s="27"/>
      <c r="C36" s="25"/>
      <c r="D36" s="25"/>
      <c r="E36" s="25"/>
    </row>
    <row r="37" spans="1:5" x14ac:dyDescent="0.25">
      <c r="A37" s="52"/>
      <c r="B37" s="27"/>
      <c r="C37" s="25"/>
      <c r="D37" s="29"/>
      <c r="E37" s="25"/>
    </row>
    <row r="38" spans="1:5" x14ac:dyDescent="0.25">
      <c r="A38" s="27"/>
      <c r="B38" s="55"/>
      <c r="C38" s="25"/>
      <c r="D38" s="55"/>
      <c r="E38" s="25"/>
    </row>
    <row r="39" spans="1:5" x14ac:dyDescent="0.25">
      <c r="A39" s="27"/>
      <c r="B39" s="55"/>
      <c r="C39" s="25"/>
      <c r="D39" s="55"/>
      <c r="E39" s="25"/>
    </row>
    <row r="40" spans="1:5" x14ac:dyDescent="0.25">
      <c r="B40" s="50"/>
      <c r="C40" s="25"/>
      <c r="D40" s="50"/>
      <c r="E40" s="25"/>
    </row>
    <row r="41" spans="1:5" x14ac:dyDescent="0.25">
      <c r="A41" s="58"/>
      <c r="B41" s="58"/>
      <c r="C41" s="58"/>
      <c r="D41" s="58"/>
      <c r="E41" s="59"/>
    </row>
    <row r="42" spans="1:5" x14ac:dyDescent="0.25">
      <c r="A42" s="58"/>
      <c r="B42" s="58"/>
      <c r="C42" s="58"/>
      <c r="D42" s="58"/>
      <c r="E42" s="59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2:D22"/>
    <mergeCell ref="A23:D23"/>
  </mergeCells>
  <conditionalFormatting sqref="E1">
    <cfRule type="cellIs" dxfId="80" priority="4" operator="lessThan">
      <formula>0</formula>
    </cfRule>
  </conditionalFormatting>
  <conditionalFormatting sqref="E3:E117">
    <cfRule type="cellIs" dxfId="79" priority="1" operator="lessThan">
      <formula>0</formula>
    </cfRule>
  </conditionalFormatting>
  <conditionalFormatting sqref="E119:E163">
    <cfRule type="cellIs" dxfId="78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4BC6-F123-4563-A042-7B1E820CB410}">
  <dimension ref="A1:E163"/>
  <sheetViews>
    <sheetView zoomScale="145" zoomScaleNormal="145" workbookViewId="0">
      <pane ySplit="1" topLeftCell="A5" activePane="bottomLeft" state="frozen"/>
      <selection pane="bottomLeft" activeCell="E28" sqref="E28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48" t="s">
        <v>0</v>
      </c>
      <c r="B1" s="48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46059</v>
      </c>
      <c r="B2" s="88"/>
      <c r="C2" s="88"/>
      <c r="D2" s="88"/>
      <c r="E2" s="88"/>
    </row>
    <row r="3" spans="1:5" x14ac:dyDescent="0.25">
      <c r="A3" s="27">
        <v>1</v>
      </c>
      <c r="B3" s="45" t="s">
        <v>81</v>
      </c>
      <c r="C3" s="45">
        <v>8000000</v>
      </c>
      <c r="D3" s="25">
        <v>8550000</v>
      </c>
      <c r="E3" s="31">
        <f t="shared" ref="E3:E15" si="0">D3-C3</f>
        <v>550000</v>
      </c>
    </row>
    <row r="4" spans="1:5" x14ac:dyDescent="0.25">
      <c r="A4" s="4">
        <v>2</v>
      </c>
      <c r="B4" s="45" t="s">
        <v>81</v>
      </c>
      <c r="C4" s="45">
        <v>8000000</v>
      </c>
      <c r="D4" s="25">
        <v>8550000</v>
      </c>
      <c r="E4" s="46">
        <f t="shared" si="0"/>
        <v>550000</v>
      </c>
    </row>
    <row r="5" spans="1:5" x14ac:dyDescent="0.25">
      <c r="A5" s="18">
        <v>3</v>
      </c>
      <c r="B5" s="27" t="s">
        <v>63</v>
      </c>
      <c r="C5" s="25">
        <v>1170999</v>
      </c>
      <c r="D5" s="25">
        <v>1448750</v>
      </c>
      <c r="E5" s="46">
        <f t="shared" si="0"/>
        <v>277751</v>
      </c>
    </row>
    <row r="6" spans="1:5" x14ac:dyDescent="0.25">
      <c r="A6" s="27">
        <v>4</v>
      </c>
      <c r="B6" s="51" t="s">
        <v>34</v>
      </c>
      <c r="C6" s="25">
        <v>3350000</v>
      </c>
      <c r="D6" s="25">
        <v>3608944</v>
      </c>
      <c r="E6" s="46">
        <f t="shared" si="0"/>
        <v>258944</v>
      </c>
    </row>
    <row r="7" spans="1:5" x14ac:dyDescent="0.25">
      <c r="A7" s="27">
        <v>5</v>
      </c>
      <c r="B7" s="27" t="s">
        <v>43</v>
      </c>
      <c r="C7" s="25">
        <v>650000</v>
      </c>
      <c r="D7" s="25">
        <v>895110</v>
      </c>
      <c r="E7" s="46">
        <f t="shared" si="0"/>
        <v>245110</v>
      </c>
    </row>
    <row r="8" spans="1:5" x14ac:dyDescent="0.25">
      <c r="A8" s="52">
        <v>6</v>
      </c>
      <c r="B8" s="4" t="s">
        <v>41</v>
      </c>
      <c r="C8" s="25">
        <v>1400000</v>
      </c>
      <c r="D8" s="25">
        <v>1624500</v>
      </c>
      <c r="E8" s="46">
        <f t="shared" si="0"/>
        <v>224500</v>
      </c>
    </row>
    <row r="9" spans="1:5" x14ac:dyDescent="0.25">
      <c r="A9" s="52">
        <v>7</v>
      </c>
      <c r="B9" s="52" t="s">
        <v>80</v>
      </c>
      <c r="C9" s="25">
        <v>2855000</v>
      </c>
      <c r="D9" s="25">
        <v>3402000</v>
      </c>
      <c r="E9" s="6">
        <f t="shared" si="0"/>
        <v>547000</v>
      </c>
    </row>
    <row r="10" spans="1:5" x14ac:dyDescent="0.25">
      <c r="A10" s="27">
        <v>8</v>
      </c>
      <c r="B10" s="4" t="s">
        <v>94</v>
      </c>
      <c r="C10" s="25">
        <v>2450000</v>
      </c>
      <c r="D10" s="25">
        <v>2611500</v>
      </c>
      <c r="E10" s="6">
        <f t="shared" si="0"/>
        <v>161500</v>
      </c>
    </row>
    <row r="11" spans="1:5" x14ac:dyDescent="0.25">
      <c r="A11" s="52">
        <v>9</v>
      </c>
      <c r="B11" s="4" t="s">
        <v>54</v>
      </c>
      <c r="C11" s="25">
        <v>5500000</v>
      </c>
      <c r="D11" s="25">
        <v>5700000</v>
      </c>
      <c r="E11" s="6">
        <f t="shared" si="0"/>
        <v>200000</v>
      </c>
    </row>
    <row r="12" spans="1:5" x14ac:dyDescent="0.25">
      <c r="A12" s="52">
        <v>10</v>
      </c>
      <c r="B12" s="4" t="s">
        <v>95</v>
      </c>
      <c r="C12" s="25">
        <v>30000</v>
      </c>
      <c r="D12" s="25">
        <v>197600</v>
      </c>
      <c r="E12" s="6">
        <f t="shared" si="0"/>
        <v>167600</v>
      </c>
    </row>
    <row r="13" spans="1:5" x14ac:dyDescent="0.25">
      <c r="A13" s="27">
        <v>11</v>
      </c>
      <c r="B13" s="4" t="s">
        <v>27</v>
      </c>
      <c r="C13" s="25">
        <v>2150000</v>
      </c>
      <c r="D13" s="25">
        <v>2327500</v>
      </c>
      <c r="E13" s="6">
        <f t="shared" si="0"/>
        <v>177500</v>
      </c>
    </row>
    <row r="14" spans="1:5" x14ac:dyDescent="0.25">
      <c r="A14" s="52">
        <v>12</v>
      </c>
      <c r="B14" s="18" t="s">
        <v>40</v>
      </c>
      <c r="C14" s="25">
        <v>455999</v>
      </c>
      <c r="D14" s="25">
        <v>578500</v>
      </c>
      <c r="E14" s="6">
        <f t="shared" si="0"/>
        <v>122501</v>
      </c>
    </row>
    <row r="15" spans="1:5" x14ac:dyDescent="0.25">
      <c r="A15" s="52">
        <v>13</v>
      </c>
      <c r="B15" s="4" t="s">
        <v>27</v>
      </c>
      <c r="C15" s="25">
        <v>2200000</v>
      </c>
      <c r="D15" s="25">
        <v>2365500</v>
      </c>
      <c r="E15" s="6">
        <f t="shared" si="0"/>
        <v>165500</v>
      </c>
    </row>
    <row r="16" spans="1:5" x14ac:dyDescent="0.25">
      <c r="A16" s="54">
        <v>14</v>
      </c>
      <c r="B16" s="4" t="s">
        <v>94</v>
      </c>
      <c r="C16" s="25">
        <v>2400000</v>
      </c>
      <c r="D16" s="25">
        <v>2517500</v>
      </c>
      <c r="E16" s="6">
        <f>D16-C16</f>
        <v>117500</v>
      </c>
    </row>
    <row r="17" spans="1:5" x14ac:dyDescent="0.25">
      <c r="A17" s="54">
        <v>15</v>
      </c>
      <c r="B17" s="4" t="s">
        <v>13</v>
      </c>
      <c r="C17" s="25">
        <v>2300000</v>
      </c>
      <c r="D17" s="25">
        <v>2470000</v>
      </c>
      <c r="E17" s="6">
        <f>D17-C17</f>
        <v>170000</v>
      </c>
    </row>
    <row r="18" spans="1:5" x14ac:dyDescent="0.25">
      <c r="A18" s="52">
        <v>16</v>
      </c>
      <c r="B18" s="4" t="s">
        <v>27</v>
      </c>
      <c r="C18" s="25">
        <v>2100000</v>
      </c>
      <c r="D18" s="25">
        <v>2308500</v>
      </c>
      <c r="E18" s="6">
        <f t="shared" ref="E18:E37" si="1">D18-C18</f>
        <v>208500</v>
      </c>
    </row>
    <row r="19" spans="1:5" x14ac:dyDescent="0.25">
      <c r="A19" s="52">
        <v>17</v>
      </c>
      <c r="B19" s="4" t="s">
        <v>27</v>
      </c>
      <c r="C19" s="25">
        <v>2200000</v>
      </c>
      <c r="D19" s="25">
        <v>2327500</v>
      </c>
      <c r="E19" s="6">
        <f t="shared" si="1"/>
        <v>127500</v>
      </c>
    </row>
    <row r="20" spans="1:5" x14ac:dyDescent="0.25">
      <c r="A20" s="54">
        <v>18</v>
      </c>
      <c r="B20" s="4" t="s">
        <v>27</v>
      </c>
      <c r="C20" s="25">
        <v>2090000</v>
      </c>
      <c r="D20" s="25">
        <v>2327500</v>
      </c>
      <c r="E20" s="6">
        <f t="shared" si="1"/>
        <v>237500</v>
      </c>
    </row>
    <row r="21" spans="1:5" x14ac:dyDescent="0.25">
      <c r="A21" s="54">
        <v>19</v>
      </c>
      <c r="B21" s="4" t="s">
        <v>27</v>
      </c>
      <c r="C21" s="25">
        <v>2200000</v>
      </c>
      <c r="D21" s="25">
        <v>2327500</v>
      </c>
      <c r="E21" s="6">
        <f t="shared" si="1"/>
        <v>127500</v>
      </c>
    </row>
    <row r="22" spans="1:5" x14ac:dyDescent="0.25">
      <c r="A22" s="52">
        <v>20</v>
      </c>
      <c r="B22" s="4" t="s">
        <v>27</v>
      </c>
      <c r="C22" s="25">
        <v>2100000</v>
      </c>
      <c r="D22" s="25">
        <v>2327500</v>
      </c>
      <c r="E22" s="6">
        <f t="shared" si="1"/>
        <v>227500</v>
      </c>
    </row>
    <row r="23" spans="1:5" x14ac:dyDescent="0.25">
      <c r="A23" s="54">
        <v>21</v>
      </c>
      <c r="B23" s="4" t="s">
        <v>43</v>
      </c>
      <c r="C23" s="42">
        <v>688888</v>
      </c>
      <c r="D23" s="42">
        <v>740999</v>
      </c>
      <c r="E23" s="6">
        <f t="shared" si="1"/>
        <v>52111</v>
      </c>
    </row>
    <row r="24" spans="1:5" x14ac:dyDescent="0.25">
      <c r="A24" s="54">
        <v>22</v>
      </c>
      <c r="B24" s="4" t="s">
        <v>27</v>
      </c>
      <c r="C24" s="42">
        <v>2099999</v>
      </c>
      <c r="D24" s="25">
        <v>2327500</v>
      </c>
      <c r="E24" s="6">
        <f t="shared" si="1"/>
        <v>227501</v>
      </c>
    </row>
    <row r="25" spans="1:5" x14ac:dyDescent="0.25">
      <c r="A25" s="52">
        <v>23</v>
      </c>
      <c r="B25" s="4" t="s">
        <v>27</v>
      </c>
      <c r="C25" s="32">
        <v>1900000</v>
      </c>
      <c r="D25" s="25">
        <v>2327500</v>
      </c>
      <c r="E25" s="6">
        <f t="shared" si="1"/>
        <v>427500</v>
      </c>
    </row>
    <row r="26" spans="1:5" x14ac:dyDescent="0.25">
      <c r="A26" s="54">
        <v>24</v>
      </c>
      <c r="B26" s="4" t="s">
        <v>43</v>
      </c>
      <c r="C26" s="42">
        <v>655555</v>
      </c>
      <c r="D26" s="36">
        <v>740999</v>
      </c>
      <c r="E26" s="6">
        <f t="shared" si="1"/>
        <v>85444</v>
      </c>
    </row>
    <row r="27" spans="1:5" x14ac:dyDescent="0.25">
      <c r="A27" s="54">
        <v>25</v>
      </c>
      <c r="B27" s="4" t="s">
        <v>27</v>
      </c>
      <c r="C27" s="45">
        <v>1999999</v>
      </c>
      <c r="D27" s="25">
        <v>2327500</v>
      </c>
      <c r="E27" s="6">
        <f t="shared" si="1"/>
        <v>327501</v>
      </c>
    </row>
    <row r="28" spans="1:5" x14ac:dyDescent="0.25">
      <c r="A28" s="52">
        <v>26</v>
      </c>
      <c r="B28" s="45" t="s">
        <v>96</v>
      </c>
      <c r="C28" s="45">
        <v>400000</v>
      </c>
      <c r="D28" s="45">
        <v>685900</v>
      </c>
      <c r="E28" s="6">
        <f t="shared" si="1"/>
        <v>285900</v>
      </c>
    </row>
    <row r="29" spans="1:5" x14ac:dyDescent="0.25">
      <c r="A29" s="54">
        <v>27</v>
      </c>
      <c r="B29" s="27" t="s">
        <v>13</v>
      </c>
      <c r="C29" s="25">
        <v>2200000</v>
      </c>
      <c r="D29" s="25">
        <v>2427777</v>
      </c>
      <c r="E29" s="6">
        <f t="shared" si="1"/>
        <v>227777</v>
      </c>
    </row>
    <row r="30" spans="1:5" x14ac:dyDescent="0.25">
      <c r="A30" s="54">
        <v>28</v>
      </c>
      <c r="B30" s="4" t="s">
        <v>27</v>
      </c>
      <c r="C30" s="25">
        <v>2222222</v>
      </c>
      <c r="D30" s="25">
        <v>2364500</v>
      </c>
      <c r="E30" s="6">
        <f t="shared" si="1"/>
        <v>142278</v>
      </c>
    </row>
    <row r="31" spans="1:5" x14ac:dyDescent="0.25">
      <c r="A31" s="52">
        <v>29</v>
      </c>
      <c r="B31" s="27" t="s">
        <v>13</v>
      </c>
      <c r="C31" s="25">
        <v>2150000</v>
      </c>
      <c r="D31" s="25">
        <v>2427777</v>
      </c>
      <c r="E31" s="6">
        <f t="shared" si="1"/>
        <v>277777</v>
      </c>
    </row>
    <row r="32" spans="1:5" x14ac:dyDescent="0.25">
      <c r="A32" s="54">
        <v>30</v>
      </c>
      <c r="B32" s="4" t="s">
        <v>27</v>
      </c>
      <c r="C32" s="25">
        <v>2100000</v>
      </c>
      <c r="D32" s="25">
        <v>2364500</v>
      </c>
      <c r="E32" s="6">
        <f t="shared" si="1"/>
        <v>264500</v>
      </c>
    </row>
    <row r="33" spans="1:5" x14ac:dyDescent="0.25">
      <c r="A33" s="27">
        <v>31</v>
      </c>
      <c r="B33" s="4" t="s">
        <v>27</v>
      </c>
      <c r="C33" s="25">
        <v>2190000</v>
      </c>
      <c r="D33" s="25">
        <v>2364500</v>
      </c>
      <c r="E33" s="25">
        <f t="shared" si="1"/>
        <v>174500</v>
      </c>
    </row>
    <row r="34" spans="1:5" x14ac:dyDescent="0.25">
      <c r="A34" s="54">
        <v>32</v>
      </c>
      <c r="B34" s="27" t="s">
        <v>43</v>
      </c>
      <c r="C34" s="25">
        <v>700000</v>
      </c>
      <c r="D34" s="25">
        <v>831250</v>
      </c>
      <c r="E34" s="25">
        <f t="shared" si="1"/>
        <v>131250</v>
      </c>
    </row>
    <row r="35" spans="1:5" x14ac:dyDescent="0.25">
      <c r="A35" s="27">
        <v>33</v>
      </c>
      <c r="B35" s="27" t="s">
        <v>43</v>
      </c>
      <c r="C35" s="25">
        <v>700000</v>
      </c>
      <c r="D35" s="25">
        <v>831250</v>
      </c>
      <c r="E35" s="25">
        <f t="shared" si="1"/>
        <v>131250</v>
      </c>
    </row>
    <row r="36" spans="1:5" x14ac:dyDescent="0.25">
      <c r="A36" s="54">
        <v>34</v>
      </c>
      <c r="B36" s="27" t="s">
        <v>43</v>
      </c>
      <c r="C36" s="25">
        <v>700000</v>
      </c>
      <c r="D36" s="25">
        <v>831250</v>
      </c>
      <c r="E36" s="25">
        <f t="shared" si="1"/>
        <v>131250</v>
      </c>
    </row>
    <row r="37" spans="1:5" x14ac:dyDescent="0.25">
      <c r="A37" s="27">
        <v>35</v>
      </c>
      <c r="B37" s="27" t="s">
        <v>16</v>
      </c>
      <c r="C37" s="6">
        <v>600000</v>
      </c>
      <c r="D37" s="29">
        <v>807500</v>
      </c>
      <c r="E37" s="25">
        <f t="shared" si="1"/>
        <v>207500</v>
      </c>
    </row>
    <row r="38" spans="1:5" x14ac:dyDescent="0.25">
      <c r="A38" s="89" t="s">
        <v>8</v>
      </c>
      <c r="B38" s="89"/>
      <c r="C38" s="89"/>
      <c r="D38" s="89"/>
      <c r="E38" s="8">
        <v>309999</v>
      </c>
    </row>
    <row r="39" spans="1:5" x14ac:dyDescent="0.25">
      <c r="A39" s="89" t="s">
        <v>9</v>
      </c>
      <c r="B39" s="89"/>
      <c r="C39" s="89"/>
      <c r="D39" s="89"/>
      <c r="E39" s="8">
        <f>SUM(E3:E37)-E38</f>
        <v>7647946</v>
      </c>
    </row>
    <row r="40" spans="1:5" x14ac:dyDescent="0.25">
      <c r="A40" s="50"/>
      <c r="B40" s="50"/>
      <c r="C40" s="50"/>
      <c r="D40" s="50"/>
      <c r="E40" s="49"/>
    </row>
    <row r="41" spans="1:5" x14ac:dyDescent="0.25">
      <c r="A41" s="50"/>
      <c r="B41" s="50"/>
      <c r="C41" s="50"/>
      <c r="D41" s="50"/>
      <c r="E41" s="49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38:D38"/>
    <mergeCell ref="A39:D39"/>
  </mergeCells>
  <conditionalFormatting sqref="E1">
    <cfRule type="cellIs" dxfId="77" priority="5" operator="lessThan">
      <formula>0</formula>
    </cfRule>
  </conditionalFormatting>
  <conditionalFormatting sqref="E3:E117">
    <cfRule type="cellIs" dxfId="76" priority="1" operator="lessThan">
      <formula>0</formula>
    </cfRule>
  </conditionalFormatting>
  <conditionalFormatting sqref="E119:E163">
    <cfRule type="cellIs" dxfId="75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7814-F0BF-48CB-BBE6-8CC16CC662B2}">
  <dimension ref="A1:F163"/>
  <sheetViews>
    <sheetView zoomScale="145" zoomScaleNormal="145" workbookViewId="0">
      <pane ySplit="1" topLeftCell="A14" activePane="bottomLeft" state="frozen"/>
      <selection pane="bottomLeft" activeCell="E38" sqref="E38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6" x14ac:dyDescent="0.25">
      <c r="A1" s="53" t="s">
        <v>0</v>
      </c>
      <c r="B1" s="53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87">
        <v>46060</v>
      </c>
      <c r="B2" s="88"/>
      <c r="C2" s="88"/>
      <c r="D2" s="88"/>
      <c r="E2" s="88"/>
    </row>
    <row r="3" spans="1:6" x14ac:dyDescent="0.25">
      <c r="A3" s="27">
        <v>1</v>
      </c>
      <c r="B3" s="45" t="s">
        <v>51</v>
      </c>
      <c r="C3" s="45">
        <v>2000000</v>
      </c>
      <c r="D3" s="25">
        <v>2090000</v>
      </c>
      <c r="E3" s="31">
        <f t="shared" ref="E3:E40" si="0">D3-C3</f>
        <v>90000</v>
      </c>
    </row>
    <row r="4" spans="1:6" x14ac:dyDescent="0.25">
      <c r="A4" s="4">
        <v>2</v>
      </c>
      <c r="B4" s="45" t="s">
        <v>23</v>
      </c>
      <c r="C4" s="45">
        <v>850000</v>
      </c>
      <c r="D4" s="25">
        <v>931000</v>
      </c>
      <c r="E4" s="31">
        <f t="shared" si="0"/>
        <v>81000</v>
      </c>
    </row>
    <row r="5" spans="1:6" x14ac:dyDescent="0.25">
      <c r="A5" s="18">
        <v>3</v>
      </c>
      <c r="B5" s="27" t="s">
        <v>26</v>
      </c>
      <c r="C5" s="25">
        <v>2000000</v>
      </c>
      <c r="D5" s="25">
        <v>2280000</v>
      </c>
      <c r="E5" s="31">
        <f t="shared" si="0"/>
        <v>280000</v>
      </c>
    </row>
    <row r="6" spans="1:6" x14ac:dyDescent="0.25">
      <c r="A6" s="27">
        <v>4</v>
      </c>
      <c r="B6" s="51" t="s">
        <v>26</v>
      </c>
      <c r="C6" s="25">
        <v>2000000</v>
      </c>
      <c r="D6" s="25">
        <v>2280000</v>
      </c>
      <c r="E6" s="31">
        <f t="shared" si="0"/>
        <v>280000</v>
      </c>
    </row>
    <row r="7" spans="1:6" x14ac:dyDescent="0.25">
      <c r="A7" s="27">
        <v>5</v>
      </c>
      <c r="B7" s="27" t="s">
        <v>87</v>
      </c>
      <c r="C7" s="25">
        <v>5100000</v>
      </c>
      <c r="D7" s="25">
        <v>5035000</v>
      </c>
      <c r="E7" s="31">
        <f t="shared" si="0"/>
        <v>-65000</v>
      </c>
    </row>
    <row r="8" spans="1:6" x14ac:dyDescent="0.25">
      <c r="A8" s="52">
        <v>6</v>
      </c>
      <c r="B8" s="4" t="s">
        <v>87</v>
      </c>
      <c r="C8" s="25">
        <v>4999999</v>
      </c>
      <c r="D8" s="25">
        <v>5000000</v>
      </c>
      <c r="E8" s="46">
        <f t="shared" si="0"/>
        <v>1</v>
      </c>
    </row>
    <row r="9" spans="1:6" x14ac:dyDescent="0.25">
      <c r="A9" s="27">
        <v>7</v>
      </c>
      <c r="B9" s="52" t="s">
        <v>41</v>
      </c>
      <c r="C9" s="25">
        <v>1500000</v>
      </c>
      <c r="D9" s="25">
        <v>1805000</v>
      </c>
      <c r="E9" s="46">
        <f t="shared" si="0"/>
        <v>305000</v>
      </c>
    </row>
    <row r="10" spans="1:6" x14ac:dyDescent="0.25">
      <c r="A10" s="52">
        <v>8</v>
      </c>
      <c r="B10" s="4" t="s">
        <v>40</v>
      </c>
      <c r="C10" s="25">
        <v>472999</v>
      </c>
      <c r="D10" s="25">
        <v>598510</v>
      </c>
      <c r="E10" s="46">
        <f t="shared" si="0"/>
        <v>125511</v>
      </c>
    </row>
    <row r="11" spans="1:6" x14ac:dyDescent="0.25">
      <c r="A11" s="27">
        <v>9</v>
      </c>
      <c r="B11" s="4" t="s">
        <v>7</v>
      </c>
      <c r="C11" s="25">
        <v>15000001</v>
      </c>
      <c r="D11" s="25">
        <v>15199999</v>
      </c>
      <c r="E11" s="46">
        <f t="shared" si="0"/>
        <v>199998</v>
      </c>
    </row>
    <row r="12" spans="1:6" x14ac:dyDescent="0.25">
      <c r="A12" s="27">
        <v>10</v>
      </c>
      <c r="B12" s="18" t="s">
        <v>80</v>
      </c>
      <c r="C12" s="25">
        <v>6026999</v>
      </c>
      <c r="D12" s="25">
        <v>6992427</v>
      </c>
      <c r="E12" s="46">
        <f t="shared" si="0"/>
        <v>965428</v>
      </c>
      <c r="F12" s="57"/>
    </row>
    <row r="13" spans="1:6" x14ac:dyDescent="0.25">
      <c r="A13" s="4">
        <v>11</v>
      </c>
      <c r="B13" s="4" t="s">
        <v>16</v>
      </c>
      <c r="C13" s="25">
        <v>650000</v>
      </c>
      <c r="D13" s="25">
        <v>806550</v>
      </c>
      <c r="E13" s="6">
        <f t="shared" si="0"/>
        <v>156550</v>
      </c>
    </row>
    <row r="14" spans="1:6" x14ac:dyDescent="0.25">
      <c r="A14" s="18">
        <v>12</v>
      </c>
      <c r="B14" s="18" t="s">
        <v>16</v>
      </c>
      <c r="C14" s="25">
        <v>666666</v>
      </c>
      <c r="D14" s="25">
        <v>806550</v>
      </c>
      <c r="E14" s="6">
        <f t="shared" si="0"/>
        <v>139884</v>
      </c>
    </row>
    <row r="15" spans="1:6" x14ac:dyDescent="0.25">
      <c r="A15" s="27">
        <v>13</v>
      </c>
      <c r="B15" s="4" t="s">
        <v>16</v>
      </c>
      <c r="C15" s="25">
        <v>666666</v>
      </c>
      <c r="D15" s="25">
        <v>806550</v>
      </c>
      <c r="E15" s="6">
        <f t="shared" si="0"/>
        <v>139884</v>
      </c>
    </row>
    <row r="16" spans="1:6" x14ac:dyDescent="0.25">
      <c r="A16" s="27">
        <v>14</v>
      </c>
      <c r="B16" s="4" t="s">
        <v>16</v>
      </c>
      <c r="C16" s="25">
        <v>64999</v>
      </c>
      <c r="D16" s="25">
        <v>806550</v>
      </c>
      <c r="E16" s="6">
        <f t="shared" si="0"/>
        <v>741551</v>
      </c>
    </row>
    <row r="17" spans="1:5" x14ac:dyDescent="0.25">
      <c r="A17" s="52">
        <v>15</v>
      </c>
      <c r="B17" s="4" t="s">
        <v>13</v>
      </c>
      <c r="C17" s="25">
        <v>2100000</v>
      </c>
      <c r="D17" s="25">
        <v>2326500</v>
      </c>
      <c r="E17" s="6">
        <f t="shared" si="0"/>
        <v>226500</v>
      </c>
    </row>
    <row r="18" spans="1:5" x14ac:dyDescent="0.25">
      <c r="A18" s="27">
        <v>16</v>
      </c>
      <c r="B18" s="4" t="s">
        <v>43</v>
      </c>
      <c r="C18" s="25">
        <v>750000</v>
      </c>
      <c r="D18" s="25">
        <v>950000</v>
      </c>
      <c r="E18" s="6">
        <f t="shared" si="0"/>
        <v>200000</v>
      </c>
    </row>
    <row r="19" spans="1:5" x14ac:dyDescent="0.25">
      <c r="A19" s="52">
        <v>17</v>
      </c>
      <c r="B19" s="4" t="s">
        <v>13</v>
      </c>
      <c r="C19" s="25">
        <v>1999999</v>
      </c>
      <c r="D19" s="25">
        <v>2327499</v>
      </c>
      <c r="E19" s="6">
        <f t="shared" si="0"/>
        <v>327500</v>
      </c>
    </row>
    <row r="20" spans="1:5" x14ac:dyDescent="0.25">
      <c r="A20" s="27">
        <v>18</v>
      </c>
      <c r="B20" s="4" t="s">
        <v>13</v>
      </c>
      <c r="C20" s="25">
        <v>2050000</v>
      </c>
      <c r="D20" s="25">
        <v>2326550</v>
      </c>
      <c r="E20" s="6">
        <f t="shared" si="0"/>
        <v>276550</v>
      </c>
    </row>
    <row r="21" spans="1:5" x14ac:dyDescent="0.25">
      <c r="A21" s="27">
        <v>19</v>
      </c>
      <c r="B21" s="4" t="s">
        <v>13</v>
      </c>
      <c r="C21" s="25">
        <v>2000000</v>
      </c>
      <c r="D21" s="25">
        <v>2326550</v>
      </c>
      <c r="E21" s="6">
        <f t="shared" si="0"/>
        <v>326550</v>
      </c>
    </row>
    <row r="22" spans="1:5" x14ac:dyDescent="0.25">
      <c r="A22" s="4">
        <v>20</v>
      </c>
      <c r="B22" s="4" t="s">
        <v>33</v>
      </c>
      <c r="C22" s="25">
        <v>1444444</v>
      </c>
      <c r="D22" s="25">
        <v>1519781</v>
      </c>
      <c r="E22" s="6">
        <f t="shared" si="0"/>
        <v>75337</v>
      </c>
    </row>
    <row r="23" spans="1:5" x14ac:dyDescent="0.25">
      <c r="A23" s="18">
        <v>21</v>
      </c>
      <c r="B23" s="4" t="s">
        <v>34</v>
      </c>
      <c r="C23" s="42">
        <v>3100000</v>
      </c>
      <c r="D23" s="42">
        <v>3325000</v>
      </c>
      <c r="E23" s="6">
        <f t="shared" si="0"/>
        <v>225000</v>
      </c>
    </row>
    <row r="24" spans="1:5" x14ac:dyDescent="0.25">
      <c r="A24" s="27">
        <v>22</v>
      </c>
      <c r="B24" s="4" t="s">
        <v>33</v>
      </c>
      <c r="C24" s="42">
        <v>1399999</v>
      </c>
      <c r="D24" s="25">
        <v>1615000</v>
      </c>
      <c r="E24" s="6">
        <f t="shared" si="0"/>
        <v>215001</v>
      </c>
    </row>
    <row r="25" spans="1:5" x14ac:dyDescent="0.25">
      <c r="A25" s="27">
        <v>23</v>
      </c>
      <c r="B25" s="4" t="s">
        <v>43</v>
      </c>
      <c r="C25" s="32">
        <v>710000</v>
      </c>
      <c r="D25" s="25">
        <v>885000</v>
      </c>
      <c r="E25" s="6">
        <f t="shared" si="0"/>
        <v>175000</v>
      </c>
    </row>
    <row r="26" spans="1:5" x14ac:dyDescent="0.25">
      <c r="A26" s="52">
        <v>24</v>
      </c>
      <c r="B26" s="4" t="s">
        <v>43</v>
      </c>
      <c r="C26" s="42">
        <v>750000</v>
      </c>
      <c r="D26" s="25">
        <v>885000</v>
      </c>
      <c r="E26" s="6">
        <f t="shared" si="0"/>
        <v>135000</v>
      </c>
    </row>
    <row r="27" spans="1:5" x14ac:dyDescent="0.25">
      <c r="A27" s="27">
        <v>25</v>
      </c>
      <c r="B27" s="4" t="s">
        <v>13</v>
      </c>
      <c r="C27" s="45">
        <v>2000000</v>
      </c>
      <c r="D27" s="25">
        <v>2327499</v>
      </c>
      <c r="E27" s="6">
        <f t="shared" si="0"/>
        <v>327499</v>
      </c>
    </row>
    <row r="28" spans="1:5" x14ac:dyDescent="0.25">
      <c r="A28" s="52">
        <v>26</v>
      </c>
      <c r="B28" s="45" t="s">
        <v>13</v>
      </c>
      <c r="C28" s="45">
        <v>1500000</v>
      </c>
      <c r="D28" s="45">
        <v>2326550</v>
      </c>
      <c r="E28" s="6">
        <f t="shared" si="0"/>
        <v>826550</v>
      </c>
    </row>
    <row r="29" spans="1:5" x14ac:dyDescent="0.25">
      <c r="A29" s="27">
        <v>27</v>
      </c>
      <c r="B29" s="27" t="s">
        <v>13</v>
      </c>
      <c r="C29" s="25">
        <v>2100000</v>
      </c>
      <c r="D29" s="45">
        <v>2326550</v>
      </c>
      <c r="E29" s="6">
        <f t="shared" si="0"/>
        <v>226550</v>
      </c>
    </row>
    <row r="30" spans="1:5" x14ac:dyDescent="0.25">
      <c r="A30" s="27">
        <v>28</v>
      </c>
      <c r="B30" s="4" t="s">
        <v>34</v>
      </c>
      <c r="C30" s="25">
        <v>3200000</v>
      </c>
      <c r="D30" s="42">
        <v>3325000</v>
      </c>
      <c r="E30" s="6">
        <f t="shared" si="0"/>
        <v>125000</v>
      </c>
    </row>
    <row r="31" spans="1:5" x14ac:dyDescent="0.25">
      <c r="A31" s="4">
        <v>29</v>
      </c>
      <c r="B31" s="27" t="s">
        <v>40</v>
      </c>
      <c r="C31" s="25">
        <v>400000</v>
      </c>
      <c r="D31" s="25">
        <v>517380</v>
      </c>
      <c r="E31" s="6">
        <f t="shared" si="0"/>
        <v>117380</v>
      </c>
    </row>
    <row r="32" spans="1:5" x14ac:dyDescent="0.25">
      <c r="A32" s="18">
        <v>30</v>
      </c>
      <c r="B32" s="4" t="s">
        <v>16</v>
      </c>
      <c r="C32" s="25">
        <v>600000</v>
      </c>
      <c r="D32" s="25">
        <v>853100</v>
      </c>
      <c r="E32" s="6">
        <f t="shared" si="0"/>
        <v>253100</v>
      </c>
    </row>
    <row r="33" spans="1:5" x14ac:dyDescent="0.25">
      <c r="A33" s="27">
        <v>31</v>
      </c>
      <c r="B33" s="4" t="s">
        <v>13</v>
      </c>
      <c r="C33" s="25">
        <v>2200000</v>
      </c>
      <c r="D33" s="25">
        <v>2322221</v>
      </c>
      <c r="E33" s="25">
        <f t="shared" si="0"/>
        <v>122221</v>
      </c>
    </row>
    <row r="34" spans="1:5" x14ac:dyDescent="0.25">
      <c r="A34" s="27">
        <v>32</v>
      </c>
      <c r="B34" s="4" t="s">
        <v>13</v>
      </c>
      <c r="C34" s="25">
        <v>2200000</v>
      </c>
      <c r="D34" s="25">
        <v>2327500</v>
      </c>
      <c r="E34" s="25">
        <f t="shared" si="0"/>
        <v>127500</v>
      </c>
    </row>
    <row r="35" spans="1:5" x14ac:dyDescent="0.25">
      <c r="A35" s="52">
        <v>33</v>
      </c>
      <c r="B35" s="27" t="s">
        <v>33</v>
      </c>
      <c r="C35" s="25">
        <v>1400000</v>
      </c>
      <c r="D35" s="25">
        <v>1556100</v>
      </c>
      <c r="E35" s="25">
        <f t="shared" si="0"/>
        <v>156100</v>
      </c>
    </row>
    <row r="36" spans="1:5" x14ac:dyDescent="0.25">
      <c r="A36" s="27">
        <v>34</v>
      </c>
      <c r="B36" s="27" t="s">
        <v>51</v>
      </c>
      <c r="C36" s="25">
        <v>2000000</v>
      </c>
      <c r="D36" s="25">
        <v>2279999</v>
      </c>
      <c r="E36" s="25">
        <f t="shared" si="0"/>
        <v>279999</v>
      </c>
    </row>
    <row r="37" spans="1:5" x14ac:dyDescent="0.25">
      <c r="A37" s="52">
        <v>35</v>
      </c>
      <c r="B37" s="27" t="s">
        <v>51</v>
      </c>
      <c r="C37" s="25">
        <v>2000000</v>
      </c>
      <c r="D37" s="25">
        <v>2279999</v>
      </c>
      <c r="E37" s="25">
        <f t="shared" si="0"/>
        <v>279999</v>
      </c>
    </row>
    <row r="38" spans="1:5" x14ac:dyDescent="0.25">
      <c r="A38" s="27">
        <v>36</v>
      </c>
      <c r="B38" s="55" t="s">
        <v>51</v>
      </c>
      <c r="C38" s="25">
        <v>2000000</v>
      </c>
      <c r="D38" s="25">
        <v>2279999</v>
      </c>
      <c r="E38" s="25">
        <f t="shared" si="0"/>
        <v>279999</v>
      </c>
    </row>
    <row r="39" spans="1:5" x14ac:dyDescent="0.25">
      <c r="A39" s="27">
        <v>37</v>
      </c>
      <c r="B39" s="55" t="s">
        <v>51</v>
      </c>
      <c r="C39" s="25">
        <v>2000000</v>
      </c>
      <c r="D39" s="55">
        <v>2232500</v>
      </c>
      <c r="E39" s="25">
        <f t="shared" si="0"/>
        <v>232500</v>
      </c>
    </row>
    <row r="40" spans="1:5" x14ac:dyDescent="0.25">
      <c r="A40" s="4">
        <v>38</v>
      </c>
      <c r="B40" s="50" t="s">
        <v>51</v>
      </c>
      <c r="C40" s="25">
        <v>2000000</v>
      </c>
      <c r="D40" s="50">
        <v>2185000</v>
      </c>
      <c r="E40" s="25">
        <f t="shared" si="0"/>
        <v>185000</v>
      </c>
    </row>
    <row r="41" spans="1:5" x14ac:dyDescent="0.25">
      <c r="A41" s="89" t="s">
        <v>8</v>
      </c>
      <c r="B41" s="89"/>
      <c r="C41" s="89"/>
      <c r="D41" s="89"/>
      <c r="E41" s="8">
        <v>0</v>
      </c>
    </row>
    <row r="42" spans="1:5" x14ac:dyDescent="0.25">
      <c r="A42" s="89" t="s">
        <v>9</v>
      </c>
      <c r="B42" s="89"/>
      <c r="C42" s="89"/>
      <c r="D42" s="89"/>
      <c r="E42" s="8">
        <f>SUM(E3:E40)-E41</f>
        <v>9161642</v>
      </c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41:D41"/>
    <mergeCell ref="A42:D42"/>
  </mergeCells>
  <conditionalFormatting sqref="E1">
    <cfRule type="cellIs" dxfId="74" priority="4" operator="lessThan">
      <formula>0</formula>
    </cfRule>
  </conditionalFormatting>
  <conditionalFormatting sqref="E3:E117">
    <cfRule type="cellIs" dxfId="73" priority="1" operator="lessThan">
      <formula>0</formula>
    </cfRule>
  </conditionalFormatting>
  <conditionalFormatting sqref="E119:E163">
    <cfRule type="cellIs" dxfId="72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F160F-5B55-4193-9F81-4E0A78B0AD8B}">
  <dimension ref="A1:E163"/>
  <sheetViews>
    <sheetView zoomScale="145" zoomScaleNormal="145" workbookViewId="0">
      <pane ySplit="1" topLeftCell="A17" activePane="bottomLeft" state="frozen"/>
      <selection pane="bottomLeft" activeCell="E28" sqref="E28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47" t="s">
        <v>0</v>
      </c>
      <c r="B1" s="47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46058</v>
      </c>
      <c r="B2" s="88"/>
      <c r="C2" s="88"/>
      <c r="D2" s="88"/>
      <c r="E2" s="88"/>
    </row>
    <row r="3" spans="1:5" x14ac:dyDescent="0.25">
      <c r="A3" s="4">
        <v>1</v>
      </c>
      <c r="B3" s="4" t="s">
        <v>13</v>
      </c>
      <c r="C3" s="6">
        <v>2200000</v>
      </c>
      <c r="D3" s="6">
        <v>2375000</v>
      </c>
      <c r="E3" s="6">
        <f t="shared" ref="E3:E26" si="0">D3-C3</f>
        <v>175000</v>
      </c>
    </row>
    <row r="4" spans="1:5" x14ac:dyDescent="0.25">
      <c r="A4" s="27">
        <v>2</v>
      </c>
      <c r="B4" s="4" t="s">
        <v>27</v>
      </c>
      <c r="C4" s="25">
        <v>2300000</v>
      </c>
      <c r="D4" s="25">
        <v>2511800</v>
      </c>
      <c r="E4" s="6">
        <f t="shared" si="0"/>
        <v>211800</v>
      </c>
    </row>
    <row r="5" spans="1:5" x14ac:dyDescent="0.25">
      <c r="A5" s="4">
        <v>3</v>
      </c>
      <c r="B5" s="4" t="s">
        <v>23</v>
      </c>
      <c r="C5" s="25">
        <v>890000</v>
      </c>
      <c r="D5" s="6">
        <v>1044050</v>
      </c>
      <c r="E5" s="6">
        <f t="shared" si="0"/>
        <v>154050</v>
      </c>
    </row>
    <row r="6" spans="1:5" x14ac:dyDescent="0.25">
      <c r="A6" s="27">
        <v>4</v>
      </c>
      <c r="B6" s="4" t="s">
        <v>27</v>
      </c>
      <c r="C6" s="25">
        <v>2000000</v>
      </c>
      <c r="D6" s="25">
        <v>2512750</v>
      </c>
      <c r="E6" s="6">
        <f t="shared" si="0"/>
        <v>512750</v>
      </c>
    </row>
    <row r="7" spans="1:5" x14ac:dyDescent="0.25">
      <c r="A7" s="4">
        <v>5</v>
      </c>
      <c r="B7" s="4" t="s">
        <v>7</v>
      </c>
      <c r="C7" s="25">
        <v>14000000</v>
      </c>
      <c r="D7" s="25">
        <v>14725000</v>
      </c>
      <c r="E7" s="6">
        <f t="shared" si="0"/>
        <v>725000</v>
      </c>
    </row>
    <row r="8" spans="1:5" x14ac:dyDescent="0.25">
      <c r="A8" s="27">
        <v>6</v>
      </c>
      <c r="B8" s="4" t="s">
        <v>92</v>
      </c>
      <c r="C8" s="25">
        <v>88888</v>
      </c>
      <c r="D8" s="25">
        <v>256500</v>
      </c>
      <c r="E8" s="6">
        <f t="shared" si="0"/>
        <v>167612</v>
      </c>
    </row>
    <row r="9" spans="1:5" x14ac:dyDescent="0.25">
      <c r="A9" s="4">
        <v>7</v>
      </c>
      <c r="B9" s="4" t="s">
        <v>43</v>
      </c>
      <c r="C9" s="25">
        <v>700000</v>
      </c>
      <c r="D9" s="25">
        <v>896800</v>
      </c>
      <c r="E9" s="6">
        <f t="shared" si="0"/>
        <v>196800</v>
      </c>
    </row>
    <row r="10" spans="1:5" x14ac:dyDescent="0.25">
      <c r="A10" s="27">
        <v>8</v>
      </c>
      <c r="B10" s="4" t="s">
        <v>23</v>
      </c>
      <c r="C10" s="25">
        <v>850000</v>
      </c>
      <c r="D10" s="25">
        <v>950000</v>
      </c>
      <c r="E10" s="6">
        <f t="shared" si="0"/>
        <v>100000</v>
      </c>
    </row>
    <row r="11" spans="1:5" x14ac:dyDescent="0.25">
      <c r="A11" s="4">
        <v>9</v>
      </c>
      <c r="B11" s="4" t="s">
        <v>13</v>
      </c>
      <c r="C11" s="25">
        <v>2350000</v>
      </c>
      <c r="D11" s="25">
        <v>2469999</v>
      </c>
      <c r="E11" s="6">
        <f t="shared" si="0"/>
        <v>119999</v>
      </c>
    </row>
    <row r="12" spans="1:5" x14ac:dyDescent="0.25">
      <c r="A12" s="27">
        <v>10</v>
      </c>
      <c r="B12" s="4" t="s">
        <v>34</v>
      </c>
      <c r="C12" s="25">
        <v>3200000</v>
      </c>
      <c r="D12" s="25">
        <v>3310750</v>
      </c>
      <c r="E12" s="6">
        <f t="shared" si="0"/>
        <v>110750</v>
      </c>
    </row>
    <row r="13" spans="1:5" x14ac:dyDescent="0.25">
      <c r="A13" s="4">
        <v>11</v>
      </c>
      <c r="B13" s="4" t="s">
        <v>16</v>
      </c>
      <c r="C13" s="25">
        <v>700000</v>
      </c>
      <c r="D13" s="25">
        <v>836000</v>
      </c>
      <c r="E13" s="6">
        <f t="shared" si="0"/>
        <v>136000</v>
      </c>
    </row>
    <row r="14" spans="1:5" x14ac:dyDescent="0.25">
      <c r="A14" s="4">
        <v>12</v>
      </c>
      <c r="B14" s="18" t="s">
        <v>34</v>
      </c>
      <c r="C14" s="25">
        <v>3200000</v>
      </c>
      <c r="D14" s="25">
        <v>3313600</v>
      </c>
      <c r="E14" s="6">
        <f t="shared" si="0"/>
        <v>113600</v>
      </c>
    </row>
    <row r="15" spans="1:5" x14ac:dyDescent="0.25">
      <c r="A15" s="27">
        <v>13</v>
      </c>
      <c r="B15" s="4" t="s">
        <v>61</v>
      </c>
      <c r="C15" s="25">
        <v>3031999</v>
      </c>
      <c r="D15" s="25">
        <v>3583500</v>
      </c>
      <c r="E15" s="6">
        <f t="shared" si="0"/>
        <v>551501</v>
      </c>
    </row>
    <row r="16" spans="1:5" x14ac:dyDescent="0.25">
      <c r="A16" s="4">
        <v>14</v>
      </c>
      <c r="B16" s="4" t="s">
        <v>28</v>
      </c>
      <c r="C16" s="25">
        <v>650000</v>
      </c>
      <c r="D16" s="25">
        <v>760000</v>
      </c>
      <c r="E16" s="6">
        <f t="shared" si="0"/>
        <v>110000</v>
      </c>
    </row>
    <row r="17" spans="1:5" x14ac:dyDescent="0.25">
      <c r="A17" s="4">
        <v>15</v>
      </c>
      <c r="B17" s="4" t="s">
        <v>93</v>
      </c>
      <c r="C17" s="25">
        <v>300000</v>
      </c>
      <c r="D17" s="25">
        <v>509200</v>
      </c>
      <c r="E17" s="6">
        <f t="shared" si="0"/>
        <v>209200</v>
      </c>
    </row>
    <row r="18" spans="1:5" x14ac:dyDescent="0.25">
      <c r="A18" s="27">
        <v>16</v>
      </c>
      <c r="B18" s="4" t="s">
        <v>48</v>
      </c>
      <c r="C18" s="25">
        <v>1000100</v>
      </c>
      <c r="D18" s="25">
        <v>1187500</v>
      </c>
      <c r="E18" s="6">
        <f t="shared" si="0"/>
        <v>187400</v>
      </c>
    </row>
    <row r="19" spans="1:5" x14ac:dyDescent="0.25">
      <c r="A19" s="4">
        <v>17</v>
      </c>
      <c r="B19" s="4" t="s">
        <v>27</v>
      </c>
      <c r="C19" s="25">
        <v>2200000</v>
      </c>
      <c r="D19" s="25">
        <v>2422500</v>
      </c>
      <c r="E19" s="6">
        <f t="shared" si="0"/>
        <v>222500</v>
      </c>
    </row>
    <row r="20" spans="1:5" x14ac:dyDescent="0.25">
      <c r="A20" s="4">
        <v>18</v>
      </c>
      <c r="B20" s="4" t="s">
        <v>27</v>
      </c>
      <c r="C20" s="25">
        <v>2300000</v>
      </c>
      <c r="D20" s="25">
        <v>2422500</v>
      </c>
      <c r="E20" s="6">
        <f t="shared" si="0"/>
        <v>122500</v>
      </c>
    </row>
    <row r="21" spans="1:5" x14ac:dyDescent="0.25">
      <c r="A21" s="27">
        <v>19</v>
      </c>
      <c r="B21" s="4" t="s">
        <v>27</v>
      </c>
      <c r="C21" s="25">
        <v>2300000</v>
      </c>
      <c r="D21" s="25">
        <v>2422500</v>
      </c>
      <c r="E21" s="6">
        <f t="shared" si="0"/>
        <v>122500</v>
      </c>
    </row>
    <row r="22" spans="1:5" x14ac:dyDescent="0.25">
      <c r="A22" s="4">
        <v>20</v>
      </c>
      <c r="B22" s="4" t="s">
        <v>27</v>
      </c>
      <c r="C22" s="25">
        <v>2300000</v>
      </c>
      <c r="D22" s="25">
        <v>2422500</v>
      </c>
      <c r="E22" s="6">
        <f t="shared" si="0"/>
        <v>122500</v>
      </c>
    </row>
    <row r="23" spans="1:5" x14ac:dyDescent="0.25">
      <c r="A23" s="4">
        <v>21</v>
      </c>
      <c r="B23" s="4" t="s">
        <v>62</v>
      </c>
      <c r="C23" s="42">
        <v>266666</v>
      </c>
      <c r="D23" s="42">
        <v>444600</v>
      </c>
      <c r="E23" s="6">
        <f t="shared" si="0"/>
        <v>177934</v>
      </c>
    </row>
    <row r="24" spans="1:5" x14ac:dyDescent="0.25">
      <c r="A24" s="27">
        <v>22</v>
      </c>
      <c r="B24" s="42" t="s">
        <v>25</v>
      </c>
      <c r="C24" s="42">
        <v>10000000</v>
      </c>
      <c r="D24" s="42">
        <v>10925000</v>
      </c>
      <c r="E24" s="6">
        <f t="shared" si="0"/>
        <v>925000</v>
      </c>
    </row>
    <row r="25" spans="1:5" x14ac:dyDescent="0.25">
      <c r="A25" s="4">
        <v>23</v>
      </c>
      <c r="B25" s="4" t="s">
        <v>27</v>
      </c>
      <c r="C25" s="32">
        <v>2250000</v>
      </c>
      <c r="D25" s="25">
        <v>2565000</v>
      </c>
      <c r="E25" s="31">
        <f t="shared" si="0"/>
        <v>315000</v>
      </c>
    </row>
    <row r="26" spans="1:5" x14ac:dyDescent="0.25">
      <c r="A26" s="4">
        <v>24</v>
      </c>
      <c r="B26" s="4" t="s">
        <v>62</v>
      </c>
      <c r="C26" s="42">
        <v>616999</v>
      </c>
      <c r="D26" s="36">
        <v>712500</v>
      </c>
      <c r="E26" s="31">
        <f t="shared" si="0"/>
        <v>95501</v>
      </c>
    </row>
    <row r="27" spans="1:5" x14ac:dyDescent="0.25">
      <c r="A27" s="89" t="s">
        <v>8</v>
      </c>
      <c r="B27" s="89"/>
      <c r="C27" s="89"/>
      <c r="D27" s="89"/>
      <c r="E27" s="8">
        <v>0</v>
      </c>
    </row>
    <row r="28" spans="1:5" x14ac:dyDescent="0.25">
      <c r="A28" s="89" t="s">
        <v>9</v>
      </c>
      <c r="B28" s="89"/>
      <c r="C28" s="89"/>
      <c r="D28" s="89"/>
      <c r="E28" s="8">
        <f>SUM(E3:E26)-E27</f>
        <v>5884897</v>
      </c>
    </row>
    <row r="33" spans="1:5" x14ac:dyDescent="0.25">
      <c r="A33" s="27"/>
      <c r="C33" s="25"/>
      <c r="D33" s="25"/>
      <c r="E33" s="25"/>
    </row>
    <row r="34" spans="1:5" x14ac:dyDescent="0.25">
      <c r="A34" s="27"/>
      <c r="B34" s="27"/>
      <c r="C34" s="25"/>
      <c r="D34" s="25"/>
      <c r="E34" s="25"/>
    </row>
    <row r="35" spans="1:5" x14ac:dyDescent="0.25">
      <c r="A35" s="27"/>
      <c r="B35" s="27"/>
      <c r="C35" s="29"/>
      <c r="D35" s="25"/>
      <c r="E35" s="37"/>
    </row>
    <row r="36" spans="1:5" x14ac:dyDescent="0.25">
      <c r="A36" s="27"/>
      <c r="B36" s="27"/>
      <c r="C36" s="25"/>
      <c r="D36" s="29"/>
      <c r="E36" s="37"/>
    </row>
    <row r="37" spans="1:5" x14ac:dyDescent="0.25">
      <c r="A37" s="27"/>
      <c r="B37" s="27"/>
      <c r="C37" s="6"/>
      <c r="D37" s="29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B39" s="32"/>
      <c r="C39" s="6"/>
      <c r="D39" s="6"/>
      <c r="E39" s="25"/>
    </row>
    <row r="40" spans="1:5" x14ac:dyDescent="0.25">
      <c r="A40" s="50"/>
      <c r="B40" s="50"/>
      <c r="C40" s="50"/>
      <c r="D40" s="50"/>
      <c r="E40" s="49"/>
    </row>
    <row r="41" spans="1:5" x14ac:dyDescent="0.25">
      <c r="A41" s="50"/>
      <c r="B41" s="50"/>
      <c r="C41" s="50"/>
      <c r="D41" s="50"/>
      <c r="E41" s="49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7:D27"/>
    <mergeCell ref="A28:D28"/>
  </mergeCells>
  <conditionalFormatting sqref="E1">
    <cfRule type="cellIs" dxfId="71" priority="4" operator="lessThan">
      <formula>0</formula>
    </cfRule>
  </conditionalFormatting>
  <conditionalFormatting sqref="E3:E28">
    <cfRule type="cellIs" dxfId="70" priority="1" operator="lessThan">
      <formula>0</formula>
    </cfRule>
  </conditionalFormatting>
  <conditionalFormatting sqref="E33:E117">
    <cfRule type="cellIs" dxfId="69" priority="2" operator="lessThan">
      <formula>0</formula>
    </cfRule>
  </conditionalFormatting>
  <conditionalFormatting sqref="E119:E163">
    <cfRule type="cellIs" dxfId="68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63BD-4D03-431E-B4E7-28208F97BD1F}">
  <dimension ref="A1:E163"/>
  <sheetViews>
    <sheetView zoomScale="145" zoomScaleNormal="145" workbookViewId="0">
      <pane ySplit="1" topLeftCell="A23" activePane="bottomLeft" state="frozen"/>
      <selection pane="bottomLeft" activeCell="G34" sqref="G34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44" t="s">
        <v>0</v>
      </c>
      <c r="B1" s="44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46057</v>
      </c>
      <c r="B2" s="88"/>
      <c r="C2" s="88"/>
      <c r="D2" s="88"/>
      <c r="E2" s="88"/>
    </row>
    <row r="3" spans="1:5" x14ac:dyDescent="0.25">
      <c r="A3" s="4">
        <v>1</v>
      </c>
      <c r="B3" s="4" t="s">
        <v>91</v>
      </c>
      <c r="C3" s="6">
        <v>550</v>
      </c>
      <c r="D3" s="6">
        <v>66500</v>
      </c>
      <c r="E3" s="6">
        <f t="shared" ref="E3:E39" si="0">D3-C3</f>
        <v>65950</v>
      </c>
    </row>
    <row r="4" spans="1:5" x14ac:dyDescent="0.25">
      <c r="A4" s="27">
        <v>2</v>
      </c>
      <c r="B4" s="4" t="s">
        <v>56</v>
      </c>
      <c r="C4" s="25">
        <v>1000000</v>
      </c>
      <c r="D4" s="25">
        <v>1244500</v>
      </c>
      <c r="E4" s="6">
        <f t="shared" si="0"/>
        <v>244500</v>
      </c>
    </row>
    <row r="5" spans="1:5" x14ac:dyDescent="0.25">
      <c r="A5" s="4">
        <v>3</v>
      </c>
      <c r="B5" s="4" t="s">
        <v>73</v>
      </c>
      <c r="C5" s="25">
        <v>1600000</v>
      </c>
      <c r="D5" s="6">
        <v>1709700</v>
      </c>
      <c r="E5" s="6">
        <f t="shared" si="0"/>
        <v>109700</v>
      </c>
    </row>
    <row r="6" spans="1:5" x14ac:dyDescent="0.25">
      <c r="A6" s="27">
        <v>4</v>
      </c>
      <c r="B6" s="4" t="s">
        <v>5</v>
      </c>
      <c r="C6" s="25">
        <v>4100000</v>
      </c>
      <c r="D6" s="25">
        <v>4275000</v>
      </c>
      <c r="E6" s="6">
        <f t="shared" si="0"/>
        <v>175000</v>
      </c>
    </row>
    <row r="7" spans="1:5" x14ac:dyDescent="0.25">
      <c r="A7" s="4">
        <v>5</v>
      </c>
      <c r="B7" s="4" t="s">
        <v>84</v>
      </c>
      <c r="C7" s="25">
        <v>400000</v>
      </c>
      <c r="D7" s="25">
        <v>665000</v>
      </c>
      <c r="E7" s="6">
        <f t="shared" si="0"/>
        <v>265000</v>
      </c>
    </row>
    <row r="8" spans="1:5" x14ac:dyDescent="0.25">
      <c r="A8" s="27">
        <v>6</v>
      </c>
      <c r="B8" s="4" t="s">
        <v>27</v>
      </c>
      <c r="C8" s="25">
        <v>2500000</v>
      </c>
      <c r="D8" s="25">
        <v>2602999</v>
      </c>
      <c r="E8" s="6">
        <f t="shared" si="0"/>
        <v>102999</v>
      </c>
    </row>
    <row r="9" spans="1:5" x14ac:dyDescent="0.25">
      <c r="A9" s="4">
        <v>7</v>
      </c>
      <c r="B9" s="4" t="s">
        <v>27</v>
      </c>
      <c r="C9" s="25">
        <v>2500000</v>
      </c>
      <c r="D9" s="25">
        <v>2602999</v>
      </c>
      <c r="E9" s="6">
        <f t="shared" si="0"/>
        <v>102999</v>
      </c>
    </row>
    <row r="10" spans="1:5" x14ac:dyDescent="0.25">
      <c r="A10" s="27">
        <v>8</v>
      </c>
      <c r="B10" s="4" t="s">
        <v>27</v>
      </c>
      <c r="C10" s="25">
        <v>2333333</v>
      </c>
      <c r="D10" s="25">
        <v>2563100</v>
      </c>
      <c r="E10" s="6">
        <f t="shared" si="0"/>
        <v>229767</v>
      </c>
    </row>
    <row r="11" spans="1:5" x14ac:dyDescent="0.25">
      <c r="A11" s="4">
        <v>9</v>
      </c>
      <c r="B11" s="4" t="s">
        <v>28</v>
      </c>
      <c r="C11" s="25">
        <v>600000</v>
      </c>
      <c r="D11" s="25">
        <v>807500</v>
      </c>
      <c r="E11" s="6">
        <f t="shared" si="0"/>
        <v>207500</v>
      </c>
    </row>
    <row r="12" spans="1:5" x14ac:dyDescent="0.25">
      <c r="A12" s="27">
        <v>10</v>
      </c>
      <c r="B12" s="4" t="s">
        <v>23</v>
      </c>
      <c r="C12" s="25">
        <v>900000</v>
      </c>
      <c r="D12" s="25">
        <v>1090600</v>
      </c>
      <c r="E12" s="6">
        <f t="shared" si="0"/>
        <v>190600</v>
      </c>
    </row>
    <row r="13" spans="1:5" x14ac:dyDescent="0.25">
      <c r="A13" s="4">
        <v>11</v>
      </c>
      <c r="B13" s="4" t="s">
        <v>38</v>
      </c>
      <c r="C13" s="25">
        <v>2500000</v>
      </c>
      <c r="D13" s="25">
        <v>2659999</v>
      </c>
      <c r="E13" s="6">
        <f t="shared" si="0"/>
        <v>159999</v>
      </c>
    </row>
    <row r="14" spans="1:5" x14ac:dyDescent="0.25">
      <c r="A14" s="27">
        <v>12</v>
      </c>
      <c r="B14" s="18" t="s">
        <v>38</v>
      </c>
      <c r="C14" s="25">
        <v>2500000</v>
      </c>
      <c r="D14" s="25">
        <v>2659050</v>
      </c>
      <c r="E14" s="6">
        <f t="shared" si="0"/>
        <v>159050</v>
      </c>
    </row>
    <row r="15" spans="1:5" x14ac:dyDescent="0.25">
      <c r="A15" s="4">
        <v>13</v>
      </c>
      <c r="B15" s="4" t="s">
        <v>24</v>
      </c>
      <c r="C15" s="25">
        <v>3516431</v>
      </c>
      <c r="D15" s="25">
        <v>3704999</v>
      </c>
      <c r="E15" s="6">
        <f t="shared" si="0"/>
        <v>188568</v>
      </c>
    </row>
    <row r="16" spans="1:5" x14ac:dyDescent="0.25">
      <c r="A16" s="27">
        <v>14</v>
      </c>
      <c r="B16" s="4" t="s">
        <v>27</v>
      </c>
      <c r="C16" s="25">
        <v>2450000</v>
      </c>
      <c r="D16" s="25">
        <v>2517500</v>
      </c>
      <c r="E16" s="6">
        <f t="shared" si="0"/>
        <v>67500</v>
      </c>
    </row>
    <row r="17" spans="1:5" x14ac:dyDescent="0.25">
      <c r="A17" s="4">
        <v>15</v>
      </c>
      <c r="B17" s="4" t="s">
        <v>61</v>
      </c>
      <c r="C17" s="25">
        <v>2350999</v>
      </c>
      <c r="D17" s="25">
        <v>2878500</v>
      </c>
      <c r="E17" s="6">
        <f t="shared" si="0"/>
        <v>527501</v>
      </c>
    </row>
    <row r="18" spans="1:5" x14ac:dyDescent="0.25">
      <c r="A18" s="27">
        <v>16</v>
      </c>
      <c r="B18" s="4" t="s">
        <v>25</v>
      </c>
      <c r="C18" s="25">
        <v>10500000</v>
      </c>
      <c r="D18" s="25">
        <v>10925000</v>
      </c>
      <c r="E18" s="6">
        <f t="shared" si="0"/>
        <v>425000</v>
      </c>
    </row>
    <row r="19" spans="1:5" x14ac:dyDescent="0.25">
      <c r="A19" s="4">
        <v>17</v>
      </c>
      <c r="B19" s="4" t="s">
        <v>27</v>
      </c>
      <c r="C19" s="25">
        <v>2200000</v>
      </c>
      <c r="D19" s="25">
        <v>2517500</v>
      </c>
      <c r="E19" s="6">
        <f t="shared" si="0"/>
        <v>317500</v>
      </c>
    </row>
    <row r="20" spans="1:5" x14ac:dyDescent="0.25">
      <c r="A20" s="27">
        <v>18</v>
      </c>
      <c r="B20" s="4" t="s">
        <v>27</v>
      </c>
      <c r="C20" s="25">
        <v>2200000</v>
      </c>
      <c r="D20" s="25">
        <v>2365500</v>
      </c>
      <c r="E20" s="6">
        <f t="shared" si="0"/>
        <v>165500</v>
      </c>
    </row>
    <row r="21" spans="1:5" x14ac:dyDescent="0.25">
      <c r="A21" s="4">
        <v>19</v>
      </c>
      <c r="B21" s="4" t="s">
        <v>27</v>
      </c>
      <c r="C21" s="25">
        <v>2400000</v>
      </c>
      <c r="D21" s="25">
        <v>2422499</v>
      </c>
      <c r="E21" s="6">
        <f t="shared" si="0"/>
        <v>22499</v>
      </c>
    </row>
    <row r="22" spans="1:5" x14ac:dyDescent="0.25">
      <c r="A22" s="27">
        <v>20</v>
      </c>
      <c r="B22" s="4" t="s">
        <v>28</v>
      </c>
      <c r="C22" s="25">
        <v>600000</v>
      </c>
      <c r="D22" s="25">
        <v>760000</v>
      </c>
      <c r="E22" s="6">
        <f t="shared" si="0"/>
        <v>160000</v>
      </c>
    </row>
    <row r="23" spans="1:5" x14ac:dyDescent="0.25">
      <c r="A23" s="4">
        <v>21</v>
      </c>
      <c r="B23" s="4" t="s">
        <v>13</v>
      </c>
      <c r="C23" s="42">
        <v>2222222</v>
      </c>
      <c r="D23" s="42">
        <v>2373100</v>
      </c>
      <c r="E23" s="6">
        <f t="shared" si="0"/>
        <v>150878</v>
      </c>
    </row>
    <row r="24" spans="1:5" x14ac:dyDescent="0.25">
      <c r="A24" s="27">
        <v>22</v>
      </c>
      <c r="B24" s="42" t="s">
        <v>13</v>
      </c>
      <c r="C24" s="42">
        <v>2200000</v>
      </c>
      <c r="D24" s="42">
        <v>2373100</v>
      </c>
      <c r="E24" s="6">
        <f t="shared" si="0"/>
        <v>173100</v>
      </c>
    </row>
    <row r="25" spans="1:5" x14ac:dyDescent="0.25">
      <c r="A25" s="4">
        <v>23</v>
      </c>
      <c r="B25" s="4" t="s">
        <v>27</v>
      </c>
      <c r="C25" s="32">
        <v>2333332</v>
      </c>
      <c r="D25" s="25">
        <v>2365500</v>
      </c>
      <c r="E25" s="31">
        <f t="shared" si="0"/>
        <v>32168</v>
      </c>
    </row>
    <row r="26" spans="1:5" x14ac:dyDescent="0.25">
      <c r="A26" s="27">
        <v>24</v>
      </c>
      <c r="B26" s="4" t="s">
        <v>13</v>
      </c>
      <c r="C26" s="42">
        <v>2200000</v>
      </c>
      <c r="D26" s="36">
        <v>2374050</v>
      </c>
      <c r="E26" s="31">
        <f t="shared" si="0"/>
        <v>174050</v>
      </c>
    </row>
    <row r="27" spans="1:5" x14ac:dyDescent="0.25">
      <c r="A27" s="4">
        <v>25</v>
      </c>
      <c r="B27" s="45" t="s">
        <v>27</v>
      </c>
      <c r="C27" s="45">
        <v>2300000</v>
      </c>
      <c r="D27" s="25">
        <v>2365500</v>
      </c>
      <c r="E27" s="31">
        <f t="shared" si="0"/>
        <v>65500</v>
      </c>
    </row>
    <row r="28" spans="1:5" x14ac:dyDescent="0.25">
      <c r="A28" s="27">
        <v>26</v>
      </c>
      <c r="B28" s="45" t="s">
        <v>63</v>
      </c>
      <c r="C28" s="45">
        <v>530000</v>
      </c>
      <c r="D28" s="45">
        <v>617810</v>
      </c>
      <c r="E28" s="46">
        <f t="shared" si="0"/>
        <v>87810</v>
      </c>
    </row>
    <row r="29" spans="1:5" x14ac:dyDescent="0.25">
      <c r="A29" s="4">
        <v>27</v>
      </c>
      <c r="B29" s="27" t="s">
        <v>43</v>
      </c>
      <c r="C29" s="25">
        <v>700000</v>
      </c>
      <c r="D29" s="25">
        <v>788500</v>
      </c>
      <c r="E29" s="46">
        <f t="shared" si="0"/>
        <v>88500</v>
      </c>
    </row>
    <row r="30" spans="1:5" x14ac:dyDescent="0.25">
      <c r="A30" s="27">
        <v>28</v>
      </c>
      <c r="B30" s="27" t="s">
        <v>43</v>
      </c>
      <c r="C30" s="25">
        <v>600000</v>
      </c>
      <c r="D30" s="25">
        <v>788500</v>
      </c>
      <c r="E30" s="46">
        <f t="shared" si="0"/>
        <v>188500</v>
      </c>
    </row>
    <row r="31" spans="1:5" x14ac:dyDescent="0.25">
      <c r="A31" s="27">
        <v>29</v>
      </c>
      <c r="B31" s="27" t="s">
        <v>73</v>
      </c>
      <c r="C31" s="25">
        <v>320000</v>
      </c>
      <c r="D31" s="25">
        <v>484497</v>
      </c>
      <c r="E31" s="46">
        <f t="shared" si="0"/>
        <v>164497</v>
      </c>
    </row>
    <row r="32" spans="1:5" x14ac:dyDescent="0.25">
      <c r="A32" s="4">
        <v>30</v>
      </c>
      <c r="B32" s="4" t="s">
        <v>40</v>
      </c>
      <c r="C32" s="25">
        <v>400000</v>
      </c>
      <c r="D32" s="25">
        <v>475000</v>
      </c>
      <c r="E32" s="46">
        <f t="shared" si="0"/>
        <v>75000</v>
      </c>
    </row>
    <row r="33" spans="1:5" x14ac:dyDescent="0.25">
      <c r="A33" s="27">
        <v>31</v>
      </c>
      <c r="B33" s="4" t="s">
        <v>27</v>
      </c>
      <c r="C33" s="25">
        <v>2200000</v>
      </c>
      <c r="D33" s="25">
        <v>2365500</v>
      </c>
      <c r="E33" s="25">
        <f t="shared" si="0"/>
        <v>165500</v>
      </c>
    </row>
    <row r="34" spans="1:5" x14ac:dyDescent="0.25">
      <c r="A34" s="27">
        <v>32</v>
      </c>
      <c r="B34" s="27" t="s">
        <v>27</v>
      </c>
      <c r="C34" s="25">
        <v>2200000</v>
      </c>
      <c r="D34" s="25">
        <v>2365500</v>
      </c>
      <c r="E34" s="25">
        <f t="shared" si="0"/>
        <v>165500</v>
      </c>
    </row>
    <row r="35" spans="1:5" x14ac:dyDescent="0.25">
      <c r="A35" s="27">
        <v>33</v>
      </c>
      <c r="B35" s="27" t="s">
        <v>27</v>
      </c>
      <c r="C35" s="29">
        <v>2151000</v>
      </c>
      <c r="D35" s="25">
        <v>2365500</v>
      </c>
      <c r="E35" s="37">
        <f t="shared" si="0"/>
        <v>214500</v>
      </c>
    </row>
    <row r="36" spans="1:5" x14ac:dyDescent="0.25">
      <c r="A36" s="27">
        <v>34</v>
      </c>
      <c r="B36" s="27" t="s">
        <v>27</v>
      </c>
      <c r="C36" s="25">
        <v>2200000</v>
      </c>
      <c r="D36" s="29">
        <v>2470000</v>
      </c>
      <c r="E36" s="37">
        <f t="shared" si="0"/>
        <v>270000</v>
      </c>
    </row>
    <row r="37" spans="1:5" x14ac:dyDescent="0.25">
      <c r="A37" s="27">
        <v>35</v>
      </c>
      <c r="B37" s="27" t="s">
        <v>27</v>
      </c>
      <c r="C37" s="6">
        <v>2300000</v>
      </c>
      <c r="D37" s="29">
        <v>2470000</v>
      </c>
      <c r="E37" s="25">
        <f t="shared" si="0"/>
        <v>170000</v>
      </c>
    </row>
    <row r="38" spans="1:5" x14ac:dyDescent="0.25">
      <c r="A38" s="27">
        <v>36</v>
      </c>
      <c r="B38" s="4" t="s">
        <v>33</v>
      </c>
      <c r="C38" s="6">
        <v>1300000</v>
      </c>
      <c r="D38" s="6">
        <v>1519999</v>
      </c>
      <c r="E38" s="25">
        <f t="shared" si="0"/>
        <v>219999</v>
      </c>
    </row>
    <row r="39" spans="1:5" x14ac:dyDescent="0.25">
      <c r="A39" s="27">
        <v>37</v>
      </c>
      <c r="B39" s="32" t="s">
        <v>27</v>
      </c>
      <c r="C39" s="6">
        <v>2250000</v>
      </c>
      <c r="D39" s="6">
        <v>2470000</v>
      </c>
      <c r="E39" s="25">
        <f t="shared" si="0"/>
        <v>220000</v>
      </c>
    </row>
    <row r="40" spans="1:5" x14ac:dyDescent="0.25">
      <c r="A40" s="89" t="s">
        <v>8</v>
      </c>
      <c r="B40" s="89"/>
      <c r="C40" s="89"/>
      <c r="D40" s="89"/>
      <c r="E40" s="8">
        <v>0</v>
      </c>
    </row>
    <row r="41" spans="1:5" x14ac:dyDescent="0.25">
      <c r="A41" s="89" t="s">
        <v>9</v>
      </c>
      <c r="B41" s="89"/>
      <c r="C41" s="89"/>
      <c r="D41" s="89"/>
      <c r="E41" s="8">
        <f>SUM(E3:E39)-E40</f>
        <v>6512634</v>
      </c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40:D40"/>
    <mergeCell ref="A41:D41"/>
  </mergeCells>
  <conditionalFormatting sqref="E1">
    <cfRule type="cellIs" dxfId="67" priority="5" operator="lessThan">
      <formula>0</formula>
    </cfRule>
  </conditionalFormatting>
  <conditionalFormatting sqref="E3:E117">
    <cfRule type="cellIs" dxfId="66" priority="1" operator="lessThan">
      <formula>0</formula>
    </cfRule>
  </conditionalFormatting>
  <conditionalFormatting sqref="E119:E163">
    <cfRule type="cellIs" dxfId="65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45DB-9A32-4383-B80D-1E7866948F7D}">
  <dimension ref="A1:E163"/>
  <sheetViews>
    <sheetView zoomScale="145" zoomScaleNormal="145" workbookViewId="0">
      <pane ySplit="1" topLeftCell="A2" activePane="bottomLeft" state="frozen"/>
      <selection pane="bottomLeft" activeCell="C7" sqref="C7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41" t="s">
        <v>0</v>
      </c>
      <c r="B1" s="41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46056</v>
      </c>
      <c r="B2" s="88"/>
      <c r="C2" s="88"/>
      <c r="D2" s="88"/>
      <c r="E2" s="88"/>
    </row>
    <row r="3" spans="1:5" x14ac:dyDescent="0.25">
      <c r="A3" s="4">
        <v>1</v>
      </c>
      <c r="B3" s="4" t="s">
        <v>41</v>
      </c>
      <c r="C3" s="6">
        <v>1699999</v>
      </c>
      <c r="D3" s="6">
        <v>1804050</v>
      </c>
      <c r="E3" s="6">
        <f t="shared" ref="E3:E26" si="0">D3-C3</f>
        <v>104051</v>
      </c>
    </row>
    <row r="4" spans="1:5" x14ac:dyDescent="0.25">
      <c r="A4" s="27">
        <v>2</v>
      </c>
      <c r="B4" s="4" t="s">
        <v>63</v>
      </c>
      <c r="C4" s="25">
        <v>1000000</v>
      </c>
      <c r="D4" s="25">
        <v>1172300</v>
      </c>
      <c r="E4" s="6">
        <f t="shared" si="0"/>
        <v>172300</v>
      </c>
    </row>
    <row r="5" spans="1:5" x14ac:dyDescent="0.25">
      <c r="A5" s="4">
        <v>3</v>
      </c>
      <c r="B5" s="4" t="s">
        <v>81</v>
      </c>
      <c r="C5" s="25">
        <v>8000000</v>
      </c>
      <c r="D5" s="6">
        <v>8444443</v>
      </c>
      <c r="E5" s="6">
        <f t="shared" si="0"/>
        <v>444443</v>
      </c>
    </row>
    <row r="6" spans="1:5" x14ac:dyDescent="0.25">
      <c r="A6" s="27">
        <v>4</v>
      </c>
      <c r="B6" s="4" t="s">
        <v>38</v>
      </c>
      <c r="C6" s="25">
        <v>2620000</v>
      </c>
      <c r="D6" s="25">
        <v>2659050</v>
      </c>
      <c r="E6" s="6">
        <f t="shared" si="0"/>
        <v>39050</v>
      </c>
    </row>
    <row r="7" spans="1:5" x14ac:dyDescent="0.25">
      <c r="A7" s="4">
        <v>5</v>
      </c>
      <c r="B7" s="4" t="s">
        <v>38</v>
      </c>
      <c r="C7" s="25">
        <v>2620000</v>
      </c>
      <c r="D7" s="25">
        <v>2659050</v>
      </c>
      <c r="E7" s="6">
        <f t="shared" si="0"/>
        <v>39050</v>
      </c>
    </row>
    <row r="8" spans="1:5" x14ac:dyDescent="0.25">
      <c r="A8" s="27">
        <v>6</v>
      </c>
      <c r="B8" s="4" t="s">
        <v>38</v>
      </c>
      <c r="C8" s="25">
        <v>2620000</v>
      </c>
      <c r="D8" s="25">
        <v>2698000</v>
      </c>
      <c r="E8" s="6">
        <f t="shared" si="0"/>
        <v>78000</v>
      </c>
    </row>
    <row r="9" spans="1:5" x14ac:dyDescent="0.25">
      <c r="A9" s="4">
        <v>7</v>
      </c>
      <c r="B9" s="4" t="s">
        <v>38</v>
      </c>
      <c r="C9" s="25">
        <v>2620000</v>
      </c>
      <c r="D9" s="25">
        <v>2698000</v>
      </c>
      <c r="E9" s="6">
        <f t="shared" si="0"/>
        <v>78000</v>
      </c>
    </row>
    <row r="10" spans="1:5" x14ac:dyDescent="0.25">
      <c r="A10" s="27">
        <v>8</v>
      </c>
      <c r="B10" s="4" t="s">
        <v>38</v>
      </c>
      <c r="C10" s="25">
        <v>2620000</v>
      </c>
      <c r="D10" s="25">
        <v>2698000</v>
      </c>
      <c r="E10" s="6">
        <f t="shared" si="0"/>
        <v>78000</v>
      </c>
    </row>
    <row r="11" spans="1:5" x14ac:dyDescent="0.25">
      <c r="A11" s="4">
        <v>9</v>
      </c>
      <c r="B11" s="4" t="s">
        <v>38</v>
      </c>
      <c r="C11" s="25">
        <v>2620000</v>
      </c>
      <c r="D11" s="25">
        <v>2698000</v>
      </c>
      <c r="E11" s="6">
        <f t="shared" si="0"/>
        <v>78000</v>
      </c>
    </row>
    <row r="12" spans="1:5" x14ac:dyDescent="0.25">
      <c r="A12" s="27">
        <v>10</v>
      </c>
      <c r="B12" s="4" t="s">
        <v>38</v>
      </c>
      <c r="C12" s="25">
        <v>2620000</v>
      </c>
      <c r="D12" s="25">
        <v>2659999</v>
      </c>
      <c r="E12" s="6">
        <f t="shared" si="0"/>
        <v>39999</v>
      </c>
    </row>
    <row r="13" spans="1:5" x14ac:dyDescent="0.25">
      <c r="A13" s="4">
        <v>11</v>
      </c>
      <c r="B13" s="4" t="s">
        <v>38</v>
      </c>
      <c r="C13" s="25">
        <v>2620000</v>
      </c>
      <c r="D13" s="25">
        <v>2612499</v>
      </c>
      <c r="E13" s="6">
        <f t="shared" si="0"/>
        <v>-7501</v>
      </c>
    </row>
    <row r="14" spans="1:5" x14ac:dyDescent="0.25">
      <c r="A14" s="27">
        <v>12</v>
      </c>
      <c r="B14" s="18" t="s">
        <v>34</v>
      </c>
      <c r="C14" s="25">
        <v>3800000</v>
      </c>
      <c r="D14" s="25">
        <v>3989050</v>
      </c>
      <c r="E14" s="6">
        <f t="shared" si="0"/>
        <v>189050</v>
      </c>
    </row>
    <row r="15" spans="1:5" x14ac:dyDescent="0.25">
      <c r="A15" s="4">
        <v>13</v>
      </c>
      <c r="B15" s="4" t="s">
        <v>38</v>
      </c>
      <c r="C15" s="25">
        <v>2400000</v>
      </c>
      <c r="D15" s="25">
        <v>2612499</v>
      </c>
      <c r="E15" s="6">
        <f t="shared" si="0"/>
        <v>212499</v>
      </c>
    </row>
    <row r="16" spans="1:5" x14ac:dyDescent="0.25">
      <c r="A16" s="27">
        <v>14</v>
      </c>
      <c r="B16" s="4" t="s">
        <v>5</v>
      </c>
      <c r="C16" s="25">
        <v>4399999</v>
      </c>
      <c r="D16" s="25">
        <v>4464999</v>
      </c>
      <c r="E16" s="6">
        <f t="shared" si="0"/>
        <v>65000</v>
      </c>
    </row>
    <row r="17" spans="1:5" x14ac:dyDescent="0.25">
      <c r="A17" s="18">
        <v>15</v>
      </c>
      <c r="B17" s="4" t="s">
        <v>40</v>
      </c>
      <c r="C17" s="25">
        <v>458999</v>
      </c>
      <c r="D17" s="25">
        <v>602300</v>
      </c>
      <c r="E17" s="6">
        <f t="shared" si="0"/>
        <v>143301</v>
      </c>
    </row>
    <row r="18" spans="1:5" x14ac:dyDescent="0.25">
      <c r="A18" s="27">
        <v>16</v>
      </c>
      <c r="B18" s="4" t="s">
        <v>33</v>
      </c>
      <c r="C18" s="25">
        <v>1500000</v>
      </c>
      <c r="D18" s="25">
        <v>1662500</v>
      </c>
      <c r="E18" s="6">
        <f t="shared" si="0"/>
        <v>162500</v>
      </c>
    </row>
    <row r="19" spans="1:5" x14ac:dyDescent="0.25">
      <c r="A19" s="18">
        <v>17</v>
      </c>
      <c r="B19" s="4" t="s">
        <v>33</v>
      </c>
      <c r="C19" s="25">
        <v>1570000</v>
      </c>
      <c r="D19" s="25">
        <v>1709999</v>
      </c>
      <c r="E19" s="6">
        <f t="shared" si="0"/>
        <v>139999</v>
      </c>
    </row>
    <row r="20" spans="1:5" x14ac:dyDescent="0.25">
      <c r="A20" s="27">
        <v>18</v>
      </c>
      <c r="B20" s="4" t="s">
        <v>33</v>
      </c>
      <c r="C20" s="25">
        <v>1560000</v>
      </c>
      <c r="D20" s="25">
        <v>1709999</v>
      </c>
      <c r="E20" s="6">
        <f t="shared" si="0"/>
        <v>149999</v>
      </c>
    </row>
    <row r="21" spans="1:5" x14ac:dyDescent="0.25">
      <c r="A21" s="18">
        <v>19</v>
      </c>
      <c r="B21" s="4" t="s">
        <v>38</v>
      </c>
      <c r="C21" s="25">
        <v>2499999</v>
      </c>
      <c r="D21" s="25">
        <v>2612499</v>
      </c>
      <c r="E21" s="6">
        <f t="shared" si="0"/>
        <v>112500</v>
      </c>
    </row>
    <row r="22" spans="1:5" x14ac:dyDescent="0.25">
      <c r="A22" s="27">
        <v>20</v>
      </c>
      <c r="B22" s="4" t="s">
        <v>38</v>
      </c>
      <c r="C22" s="25">
        <v>2499999</v>
      </c>
      <c r="D22" s="25">
        <v>2612499</v>
      </c>
      <c r="E22" s="6">
        <f t="shared" si="0"/>
        <v>112500</v>
      </c>
    </row>
    <row r="23" spans="1:5" x14ac:dyDescent="0.25">
      <c r="A23" s="18">
        <v>21</v>
      </c>
      <c r="B23" s="4" t="s">
        <v>38</v>
      </c>
      <c r="C23" s="42">
        <v>2400000</v>
      </c>
      <c r="D23" s="42">
        <v>2612497</v>
      </c>
      <c r="E23" s="6">
        <f t="shared" si="0"/>
        <v>212497</v>
      </c>
    </row>
    <row r="24" spans="1:5" x14ac:dyDescent="0.25">
      <c r="A24" s="18">
        <v>22</v>
      </c>
      <c r="B24" s="42" t="s">
        <v>56</v>
      </c>
      <c r="C24" s="42">
        <v>1100000</v>
      </c>
      <c r="D24" s="42">
        <v>1424999</v>
      </c>
      <c r="E24" s="43">
        <f t="shared" si="0"/>
        <v>324999</v>
      </c>
    </row>
    <row r="25" spans="1:5" x14ac:dyDescent="0.25">
      <c r="A25" s="18">
        <v>23</v>
      </c>
      <c r="B25" s="4" t="s">
        <v>61</v>
      </c>
      <c r="C25" s="32">
        <v>2790999</v>
      </c>
      <c r="D25" s="25">
        <v>2940500</v>
      </c>
      <c r="E25" s="31">
        <f t="shared" si="0"/>
        <v>149501</v>
      </c>
    </row>
    <row r="26" spans="1:5" x14ac:dyDescent="0.25">
      <c r="A26" s="18">
        <v>24</v>
      </c>
      <c r="B26" s="36" t="s">
        <v>43</v>
      </c>
      <c r="C26" s="36">
        <v>829999</v>
      </c>
      <c r="D26" s="36">
        <v>902500</v>
      </c>
      <c r="E26" s="31">
        <f t="shared" si="0"/>
        <v>72501</v>
      </c>
    </row>
    <row r="27" spans="1:5" x14ac:dyDescent="0.25">
      <c r="A27" s="89" t="s">
        <v>8</v>
      </c>
      <c r="B27" s="89"/>
      <c r="C27" s="89"/>
      <c r="D27" s="89"/>
      <c r="E27" s="8">
        <v>0</v>
      </c>
    </row>
    <row r="28" spans="1:5" x14ac:dyDescent="0.25">
      <c r="A28" s="89" t="s">
        <v>9</v>
      </c>
      <c r="B28" s="89"/>
      <c r="C28" s="89"/>
      <c r="D28" s="89"/>
      <c r="E28" s="8">
        <f>SUM(E3:E26)-E27</f>
        <v>3190238</v>
      </c>
    </row>
    <row r="29" spans="1:5" x14ac:dyDescent="0.25">
      <c r="A29" s="18"/>
      <c r="B29" s="27"/>
      <c r="C29" s="25"/>
      <c r="D29" s="25"/>
      <c r="E29" s="25"/>
    </row>
    <row r="30" spans="1:5" x14ac:dyDescent="0.25">
      <c r="A30" s="27"/>
      <c r="B30" s="27"/>
      <c r="C30" s="25"/>
      <c r="D30" s="25"/>
      <c r="E30" s="25"/>
    </row>
    <row r="31" spans="1:5" x14ac:dyDescent="0.25">
      <c r="A31" s="27"/>
      <c r="B31" s="27"/>
      <c r="C31" s="25"/>
      <c r="D31" s="25"/>
      <c r="E31" s="25"/>
    </row>
    <row r="32" spans="1:5" x14ac:dyDescent="0.25">
      <c r="A32" s="27"/>
      <c r="C32" s="25"/>
      <c r="D32" s="25"/>
      <c r="E32" s="25"/>
    </row>
    <row r="33" spans="1:5" x14ac:dyDescent="0.25">
      <c r="A33" s="27"/>
      <c r="C33" s="25"/>
      <c r="D33" s="25"/>
      <c r="E33" s="25"/>
    </row>
    <row r="34" spans="1:5" x14ac:dyDescent="0.25">
      <c r="A34" s="27"/>
      <c r="B34" s="27"/>
      <c r="C34" s="26"/>
      <c r="D34" s="26"/>
      <c r="E34" s="25"/>
    </row>
    <row r="35" spans="1:5" x14ac:dyDescent="0.25">
      <c r="A35" s="27"/>
      <c r="B35" s="29"/>
      <c r="C35" s="29"/>
      <c r="D35" s="29"/>
      <c r="E35" s="37"/>
    </row>
    <row r="36" spans="1:5" x14ac:dyDescent="0.25">
      <c r="A36" s="27"/>
      <c r="B36" s="29"/>
      <c r="C36" s="29"/>
      <c r="D36" s="29"/>
      <c r="E36" s="37"/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B39" s="32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B41" s="32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7:D27"/>
    <mergeCell ref="A28:D28"/>
  </mergeCells>
  <conditionalFormatting sqref="E1">
    <cfRule type="cellIs" dxfId="64" priority="4" operator="lessThan">
      <formula>0</formula>
    </cfRule>
  </conditionalFormatting>
  <conditionalFormatting sqref="E3:E117">
    <cfRule type="cellIs" dxfId="63" priority="1" operator="lessThan">
      <formula>0</formula>
    </cfRule>
  </conditionalFormatting>
  <conditionalFormatting sqref="E119:E163">
    <cfRule type="cellIs" dxfId="62" priority="3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CEEAD-9CB0-4B90-B5AE-B73453AB73FF}">
  <dimension ref="A1:E163"/>
  <sheetViews>
    <sheetView zoomScale="145" zoomScaleNormal="145" workbookViewId="0">
      <pane ySplit="1" topLeftCell="A2" activePane="bottomLeft" state="frozen"/>
      <selection pane="bottomLeft" activeCell="G22" sqref="G22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40" t="s">
        <v>0</v>
      </c>
      <c r="B1" s="40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46052</v>
      </c>
      <c r="B2" s="88"/>
      <c r="C2" s="88"/>
      <c r="D2" s="88"/>
      <c r="E2" s="88"/>
    </row>
    <row r="3" spans="1:5" x14ac:dyDescent="0.25">
      <c r="A3" s="4">
        <v>1</v>
      </c>
      <c r="B3" s="4" t="s">
        <v>28</v>
      </c>
      <c r="C3" s="6">
        <v>840000</v>
      </c>
      <c r="D3" s="6">
        <v>896800</v>
      </c>
      <c r="E3" s="6">
        <f t="shared" ref="E3:E22" si="0">D3-C3</f>
        <v>56800</v>
      </c>
    </row>
    <row r="4" spans="1:5" x14ac:dyDescent="0.25">
      <c r="A4" s="27">
        <v>2</v>
      </c>
      <c r="B4" s="4" t="s">
        <v>34</v>
      </c>
      <c r="C4" s="25">
        <v>3400000</v>
      </c>
      <c r="D4" s="25">
        <v>3799999</v>
      </c>
      <c r="E4" s="6">
        <f t="shared" si="0"/>
        <v>399999</v>
      </c>
    </row>
    <row r="5" spans="1:5" x14ac:dyDescent="0.25">
      <c r="A5" s="4">
        <v>3</v>
      </c>
      <c r="B5" s="4" t="s">
        <v>34</v>
      </c>
      <c r="C5" s="25">
        <v>3200000</v>
      </c>
      <c r="D5" s="6">
        <v>3705000</v>
      </c>
      <c r="E5" s="6">
        <f t="shared" si="0"/>
        <v>505000</v>
      </c>
    </row>
    <row r="6" spans="1:5" x14ac:dyDescent="0.25">
      <c r="A6" s="27">
        <v>4</v>
      </c>
      <c r="B6" s="4" t="s">
        <v>33</v>
      </c>
      <c r="C6" s="25">
        <v>1650000</v>
      </c>
      <c r="D6" s="25">
        <v>1795500</v>
      </c>
      <c r="E6" s="6">
        <f t="shared" si="0"/>
        <v>145500</v>
      </c>
    </row>
    <row r="7" spans="1:5" x14ac:dyDescent="0.25">
      <c r="A7" s="4">
        <v>5</v>
      </c>
      <c r="B7" s="4" t="s">
        <v>34</v>
      </c>
      <c r="C7" s="25">
        <v>3500000</v>
      </c>
      <c r="D7" s="25">
        <v>3800000</v>
      </c>
      <c r="E7" s="6">
        <f t="shared" si="0"/>
        <v>300000</v>
      </c>
    </row>
    <row r="8" spans="1:5" x14ac:dyDescent="0.25">
      <c r="A8" s="27">
        <v>6</v>
      </c>
      <c r="B8" s="4" t="s">
        <v>23</v>
      </c>
      <c r="C8" s="25">
        <v>1200000</v>
      </c>
      <c r="D8" s="25">
        <v>1301500</v>
      </c>
      <c r="E8" s="6">
        <f t="shared" si="0"/>
        <v>101500</v>
      </c>
    </row>
    <row r="9" spans="1:5" x14ac:dyDescent="0.25">
      <c r="A9" s="4">
        <v>7</v>
      </c>
      <c r="B9" s="4" t="s">
        <v>23</v>
      </c>
      <c r="C9" s="25">
        <v>1250000</v>
      </c>
      <c r="D9" s="25">
        <v>1301500</v>
      </c>
      <c r="E9" s="6">
        <f t="shared" si="0"/>
        <v>51500</v>
      </c>
    </row>
    <row r="10" spans="1:5" x14ac:dyDescent="0.25">
      <c r="A10" s="27">
        <v>8</v>
      </c>
      <c r="B10" s="4" t="s">
        <v>24</v>
      </c>
      <c r="C10" s="25">
        <v>3600000</v>
      </c>
      <c r="D10" s="25">
        <v>4218000</v>
      </c>
      <c r="E10" s="6">
        <f t="shared" si="0"/>
        <v>618000</v>
      </c>
    </row>
    <row r="11" spans="1:5" x14ac:dyDescent="0.25">
      <c r="A11" s="4">
        <v>9</v>
      </c>
      <c r="B11" s="4" t="s">
        <v>29</v>
      </c>
      <c r="C11" s="25">
        <v>820000</v>
      </c>
      <c r="D11" s="25">
        <v>902500</v>
      </c>
      <c r="E11" s="6">
        <f t="shared" si="0"/>
        <v>82500</v>
      </c>
    </row>
    <row r="12" spans="1:5" x14ac:dyDescent="0.25">
      <c r="A12" s="27">
        <v>10</v>
      </c>
      <c r="B12" s="4" t="s">
        <v>63</v>
      </c>
      <c r="C12" s="25">
        <v>1208999</v>
      </c>
      <c r="D12" s="25">
        <v>1568400</v>
      </c>
      <c r="E12" s="6">
        <f t="shared" si="0"/>
        <v>359401</v>
      </c>
    </row>
    <row r="13" spans="1:5" x14ac:dyDescent="0.25">
      <c r="A13" s="4">
        <v>11</v>
      </c>
      <c r="B13" s="4" t="s">
        <v>13</v>
      </c>
      <c r="C13" s="25">
        <v>2600000</v>
      </c>
      <c r="D13" s="25">
        <v>2840499</v>
      </c>
      <c r="E13" s="6">
        <f t="shared" si="0"/>
        <v>240499</v>
      </c>
    </row>
    <row r="14" spans="1:5" x14ac:dyDescent="0.25">
      <c r="A14" s="27">
        <v>12</v>
      </c>
      <c r="B14" s="18" t="s">
        <v>27</v>
      </c>
      <c r="C14" s="25">
        <v>2600000</v>
      </c>
      <c r="D14" s="25">
        <v>2660000</v>
      </c>
      <c r="E14" s="6">
        <f t="shared" si="0"/>
        <v>60000</v>
      </c>
    </row>
    <row r="15" spans="1:5" x14ac:dyDescent="0.25">
      <c r="A15" s="4">
        <v>13</v>
      </c>
      <c r="B15" s="18" t="s">
        <v>33</v>
      </c>
      <c r="C15" s="25">
        <v>1600000</v>
      </c>
      <c r="D15" s="25">
        <v>1805000</v>
      </c>
      <c r="E15" s="6">
        <f t="shared" si="0"/>
        <v>205000</v>
      </c>
    </row>
    <row r="16" spans="1:5" x14ac:dyDescent="0.25">
      <c r="A16" s="27">
        <v>14</v>
      </c>
      <c r="B16" s="4" t="s">
        <v>27</v>
      </c>
      <c r="C16" s="25">
        <v>2600000</v>
      </c>
      <c r="D16" s="25">
        <v>2726500</v>
      </c>
      <c r="E16" s="6">
        <f t="shared" si="0"/>
        <v>126500</v>
      </c>
    </row>
    <row r="17" spans="1:5" x14ac:dyDescent="0.25">
      <c r="A17" s="4">
        <v>15</v>
      </c>
      <c r="B17" s="4" t="s">
        <v>43</v>
      </c>
      <c r="C17" s="25">
        <v>750000</v>
      </c>
      <c r="D17" s="25">
        <v>950000</v>
      </c>
      <c r="E17" s="6">
        <f t="shared" si="0"/>
        <v>200000</v>
      </c>
    </row>
    <row r="18" spans="1:5" x14ac:dyDescent="0.25">
      <c r="A18" s="27">
        <v>16</v>
      </c>
      <c r="B18" s="4" t="s">
        <v>13</v>
      </c>
      <c r="C18" s="25">
        <v>2666666</v>
      </c>
      <c r="D18" s="25">
        <v>2849999</v>
      </c>
      <c r="E18" s="6">
        <f t="shared" si="0"/>
        <v>183333</v>
      </c>
    </row>
    <row r="19" spans="1:5" x14ac:dyDescent="0.25">
      <c r="A19" s="4">
        <v>17</v>
      </c>
      <c r="B19" s="4" t="s">
        <v>27</v>
      </c>
      <c r="C19" s="25">
        <v>2555555</v>
      </c>
      <c r="D19" s="25">
        <v>2660000</v>
      </c>
      <c r="E19" s="6">
        <f t="shared" si="0"/>
        <v>104445</v>
      </c>
    </row>
    <row r="20" spans="1:5" x14ac:dyDescent="0.25">
      <c r="A20" s="27">
        <v>18</v>
      </c>
      <c r="B20" s="4" t="s">
        <v>32</v>
      </c>
      <c r="C20" s="25">
        <v>500000</v>
      </c>
      <c r="D20" s="25">
        <v>755250</v>
      </c>
      <c r="E20" s="6">
        <f t="shared" si="0"/>
        <v>255250</v>
      </c>
    </row>
    <row r="21" spans="1:5" x14ac:dyDescent="0.25">
      <c r="A21" s="4">
        <v>19</v>
      </c>
      <c r="B21" s="27" t="s">
        <v>27</v>
      </c>
      <c r="C21" s="25">
        <v>2600000</v>
      </c>
      <c r="D21" s="25">
        <v>2745500</v>
      </c>
      <c r="E21" s="6">
        <f t="shared" si="0"/>
        <v>145500</v>
      </c>
    </row>
    <row r="22" spans="1:5" x14ac:dyDescent="0.25">
      <c r="A22" s="27">
        <v>20</v>
      </c>
      <c r="B22" s="4" t="s">
        <v>27</v>
      </c>
      <c r="C22" s="25">
        <v>2555000</v>
      </c>
      <c r="D22" s="25">
        <v>2745500</v>
      </c>
      <c r="E22" s="6">
        <f t="shared" si="0"/>
        <v>190500</v>
      </c>
    </row>
    <row r="23" spans="1:5" x14ac:dyDescent="0.25">
      <c r="A23" s="89" t="s">
        <v>8</v>
      </c>
      <c r="B23" s="89"/>
      <c r="C23" s="89"/>
      <c r="D23" s="89"/>
      <c r="E23" s="8">
        <v>0</v>
      </c>
    </row>
    <row r="24" spans="1:5" x14ac:dyDescent="0.25">
      <c r="A24" s="89" t="s">
        <v>9</v>
      </c>
      <c r="B24" s="89"/>
      <c r="C24" s="89"/>
      <c r="D24" s="89"/>
      <c r="E24" s="8">
        <f>SUM(E3:E22)-E23</f>
        <v>4331227</v>
      </c>
    </row>
    <row r="25" spans="1:5" x14ac:dyDescent="0.25">
      <c r="A25" s="18"/>
      <c r="C25" s="32"/>
      <c r="D25" s="25"/>
      <c r="E25" s="31"/>
    </row>
    <row r="26" spans="1:5" x14ac:dyDescent="0.25">
      <c r="A26" s="18"/>
      <c r="B26" s="36"/>
      <c r="C26" s="36"/>
      <c r="D26" s="36"/>
      <c r="E26" s="37"/>
    </row>
    <row r="27" spans="1:5" x14ac:dyDescent="0.25">
      <c r="A27" s="18"/>
      <c r="B27" s="36"/>
      <c r="C27" s="36"/>
      <c r="D27" s="36"/>
      <c r="E27" s="37"/>
    </row>
    <row r="28" spans="1:5" x14ac:dyDescent="0.25">
      <c r="A28" s="27"/>
      <c r="B28" s="27"/>
      <c r="C28" s="25"/>
      <c r="D28" s="25"/>
      <c r="E28" s="25"/>
    </row>
    <row r="29" spans="1:5" x14ac:dyDescent="0.25">
      <c r="A29" s="18"/>
      <c r="B29" s="27"/>
      <c r="C29" s="25"/>
      <c r="D29" s="25"/>
      <c r="E29" s="25"/>
    </row>
    <row r="30" spans="1:5" x14ac:dyDescent="0.25">
      <c r="A30" s="27"/>
      <c r="B30" s="27"/>
      <c r="C30" s="25"/>
      <c r="D30" s="25"/>
      <c r="E30" s="25"/>
    </row>
    <row r="31" spans="1:5" x14ac:dyDescent="0.25">
      <c r="A31" s="27"/>
      <c r="B31" s="27"/>
      <c r="C31" s="25"/>
      <c r="D31" s="25"/>
      <c r="E31" s="25"/>
    </row>
    <row r="32" spans="1:5" x14ac:dyDescent="0.25">
      <c r="A32" s="27"/>
      <c r="C32" s="25"/>
      <c r="D32" s="25"/>
      <c r="E32" s="25"/>
    </row>
    <row r="33" spans="1:5" x14ac:dyDescent="0.25">
      <c r="A33" s="27"/>
      <c r="C33" s="25"/>
      <c r="D33" s="25"/>
      <c r="E33" s="25"/>
    </row>
    <row r="34" spans="1:5" x14ac:dyDescent="0.25">
      <c r="A34" s="27"/>
      <c r="B34" s="27"/>
      <c r="C34" s="26"/>
      <c r="D34" s="26"/>
      <c r="E34" s="25"/>
    </row>
    <row r="35" spans="1:5" x14ac:dyDescent="0.25">
      <c r="A35" s="27"/>
      <c r="B35" s="29"/>
      <c r="C35" s="29"/>
      <c r="D35" s="29"/>
      <c r="E35" s="37"/>
    </row>
    <row r="36" spans="1:5" x14ac:dyDescent="0.25">
      <c r="A36" s="27"/>
      <c r="B36" s="29"/>
      <c r="C36" s="29"/>
      <c r="D36" s="29"/>
      <c r="E36" s="37"/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B39" s="32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B41" s="32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3:D23"/>
    <mergeCell ref="A24:D24"/>
  </mergeCells>
  <conditionalFormatting sqref="E1">
    <cfRule type="cellIs" dxfId="61" priority="5" operator="lessThan">
      <formula>0</formula>
    </cfRule>
  </conditionalFormatting>
  <conditionalFormatting sqref="E3:E117">
    <cfRule type="cellIs" dxfId="60" priority="1" operator="lessThan">
      <formula>0</formula>
    </cfRule>
  </conditionalFormatting>
  <conditionalFormatting sqref="E119:E163">
    <cfRule type="cellIs" dxfId="59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9AFF3-9024-4230-94ED-CBA16BFA4ADD}">
  <dimension ref="A1:E163"/>
  <sheetViews>
    <sheetView zoomScale="145" zoomScaleNormal="145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34" t="s">
        <v>0</v>
      </c>
      <c r="B1" s="34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46051</v>
      </c>
      <c r="B2" s="88"/>
      <c r="C2" s="88"/>
      <c r="D2" s="88"/>
      <c r="E2" s="88"/>
    </row>
    <row r="3" spans="1:5" x14ac:dyDescent="0.25">
      <c r="A3" s="4">
        <v>1</v>
      </c>
      <c r="B3" s="4" t="s">
        <v>13</v>
      </c>
      <c r="C3" s="6">
        <v>3000000</v>
      </c>
      <c r="D3" s="6">
        <v>3039999</v>
      </c>
      <c r="E3" s="6">
        <f t="shared" ref="E3:E22" si="0">D3-C3</f>
        <v>39999</v>
      </c>
    </row>
    <row r="4" spans="1:5" x14ac:dyDescent="0.25">
      <c r="A4" s="27">
        <v>2</v>
      </c>
      <c r="B4" s="4" t="s">
        <v>35</v>
      </c>
      <c r="C4" s="25">
        <v>1198999</v>
      </c>
      <c r="D4" s="25">
        <v>1187499</v>
      </c>
      <c r="E4" s="6">
        <f t="shared" si="0"/>
        <v>-11500</v>
      </c>
    </row>
    <row r="5" spans="1:5" x14ac:dyDescent="0.25">
      <c r="A5" s="4">
        <v>3</v>
      </c>
      <c r="B5" s="4" t="s">
        <v>35</v>
      </c>
      <c r="C5" s="25">
        <v>1150000</v>
      </c>
      <c r="D5" s="6">
        <v>1187499</v>
      </c>
      <c r="E5" s="6">
        <f t="shared" si="0"/>
        <v>37499</v>
      </c>
    </row>
    <row r="6" spans="1:5" x14ac:dyDescent="0.25">
      <c r="A6" s="27">
        <v>4</v>
      </c>
      <c r="B6" s="4" t="s">
        <v>27</v>
      </c>
      <c r="C6" s="25">
        <v>2650000</v>
      </c>
      <c r="D6" s="25">
        <v>2755000</v>
      </c>
      <c r="E6" s="6">
        <f t="shared" si="0"/>
        <v>105000</v>
      </c>
    </row>
    <row r="7" spans="1:5" x14ac:dyDescent="0.25">
      <c r="A7" s="4">
        <v>5</v>
      </c>
      <c r="B7" s="4" t="s">
        <v>16</v>
      </c>
      <c r="C7" s="25">
        <v>800000</v>
      </c>
      <c r="D7" s="25">
        <v>893000</v>
      </c>
      <c r="E7" s="6">
        <f t="shared" si="0"/>
        <v>93000</v>
      </c>
    </row>
    <row r="8" spans="1:5" x14ac:dyDescent="0.25">
      <c r="A8" s="27">
        <v>6</v>
      </c>
      <c r="B8" s="4" t="s">
        <v>43</v>
      </c>
      <c r="C8" s="25">
        <v>800000</v>
      </c>
      <c r="D8" s="25">
        <v>921499</v>
      </c>
      <c r="E8" s="6">
        <f t="shared" si="0"/>
        <v>121499</v>
      </c>
    </row>
    <row r="9" spans="1:5" x14ac:dyDescent="0.25">
      <c r="A9" s="18">
        <v>7</v>
      </c>
      <c r="B9" s="4" t="s">
        <v>34</v>
      </c>
      <c r="C9" s="25">
        <v>3650000</v>
      </c>
      <c r="D9" s="25">
        <v>3778150</v>
      </c>
      <c r="E9" s="6">
        <f t="shared" si="0"/>
        <v>128150</v>
      </c>
    </row>
    <row r="10" spans="1:5" x14ac:dyDescent="0.25">
      <c r="A10" s="27">
        <v>8</v>
      </c>
      <c r="B10" s="4" t="s">
        <v>13</v>
      </c>
      <c r="C10" s="25">
        <v>3000000</v>
      </c>
      <c r="D10" s="25"/>
      <c r="E10" s="6">
        <f t="shared" si="0"/>
        <v>-3000000</v>
      </c>
    </row>
    <row r="11" spans="1:5" x14ac:dyDescent="0.25">
      <c r="A11" s="18">
        <v>9</v>
      </c>
      <c r="B11" s="4" t="s">
        <v>13</v>
      </c>
      <c r="C11" s="25">
        <v>3000000</v>
      </c>
      <c r="D11" s="25"/>
      <c r="E11" s="6">
        <f t="shared" si="0"/>
        <v>-3000000</v>
      </c>
    </row>
    <row r="12" spans="1:5" x14ac:dyDescent="0.25">
      <c r="A12" s="18">
        <v>10</v>
      </c>
      <c r="B12" s="4" t="s">
        <v>75</v>
      </c>
      <c r="C12" s="25">
        <v>1555555</v>
      </c>
      <c r="D12" s="25">
        <v>1668200</v>
      </c>
      <c r="E12" s="6">
        <f t="shared" si="0"/>
        <v>112645</v>
      </c>
    </row>
    <row r="13" spans="1:5" x14ac:dyDescent="0.25">
      <c r="A13" s="27">
        <v>11</v>
      </c>
      <c r="B13" s="4" t="s">
        <v>81</v>
      </c>
      <c r="C13" s="25">
        <v>8999999</v>
      </c>
      <c r="D13" s="25">
        <v>9499999</v>
      </c>
      <c r="E13" s="6">
        <f t="shared" si="0"/>
        <v>500000</v>
      </c>
    </row>
    <row r="14" spans="1:5" x14ac:dyDescent="0.25">
      <c r="A14" s="18">
        <v>12</v>
      </c>
      <c r="B14" s="18" t="s">
        <v>34</v>
      </c>
      <c r="C14" s="25">
        <v>3599999</v>
      </c>
      <c r="D14" s="25">
        <v>3743000</v>
      </c>
      <c r="E14" s="6">
        <f t="shared" si="0"/>
        <v>143001</v>
      </c>
    </row>
    <row r="15" spans="1:5" x14ac:dyDescent="0.25">
      <c r="A15" s="18">
        <v>13</v>
      </c>
      <c r="B15" s="18" t="s">
        <v>80</v>
      </c>
      <c r="C15" s="25">
        <v>3120000</v>
      </c>
      <c r="D15" s="25">
        <v>4452295</v>
      </c>
      <c r="E15" s="6">
        <f t="shared" si="0"/>
        <v>1332295</v>
      </c>
    </row>
    <row r="16" spans="1:5" x14ac:dyDescent="0.25">
      <c r="A16" s="27">
        <v>14</v>
      </c>
      <c r="B16" s="4" t="s">
        <v>27</v>
      </c>
      <c r="C16" s="25">
        <v>2555555</v>
      </c>
      <c r="D16" s="25">
        <v>2830050</v>
      </c>
      <c r="E16" s="6">
        <f t="shared" si="0"/>
        <v>274495</v>
      </c>
    </row>
    <row r="17" spans="1:5" x14ac:dyDescent="0.25">
      <c r="A17" s="18">
        <v>15</v>
      </c>
      <c r="B17" s="4" t="s">
        <v>34</v>
      </c>
      <c r="C17" s="25">
        <v>3480000</v>
      </c>
      <c r="D17" s="25">
        <v>3752500</v>
      </c>
      <c r="E17" s="6">
        <f t="shared" si="0"/>
        <v>272500</v>
      </c>
    </row>
    <row r="18" spans="1:5" x14ac:dyDescent="0.25">
      <c r="A18" s="27">
        <v>16</v>
      </c>
      <c r="B18" s="4" t="s">
        <v>34</v>
      </c>
      <c r="C18" s="25">
        <v>3599999</v>
      </c>
      <c r="D18" s="25">
        <v>3800000</v>
      </c>
      <c r="E18" s="6">
        <f t="shared" si="0"/>
        <v>200001</v>
      </c>
    </row>
    <row r="19" spans="1:5" x14ac:dyDescent="0.25">
      <c r="A19" s="18">
        <v>17</v>
      </c>
      <c r="B19" s="4" t="s">
        <v>5</v>
      </c>
      <c r="C19" s="25">
        <v>4600000</v>
      </c>
      <c r="D19" s="25">
        <v>4655000</v>
      </c>
      <c r="E19" s="6">
        <f t="shared" si="0"/>
        <v>55000</v>
      </c>
    </row>
    <row r="20" spans="1:5" x14ac:dyDescent="0.25">
      <c r="A20" s="27">
        <v>18</v>
      </c>
      <c r="B20" s="4" t="s">
        <v>13</v>
      </c>
      <c r="C20" s="25">
        <v>2750000</v>
      </c>
      <c r="D20" s="25">
        <v>2850000</v>
      </c>
      <c r="E20" s="6">
        <f t="shared" si="0"/>
        <v>100000</v>
      </c>
    </row>
    <row r="21" spans="1:5" x14ac:dyDescent="0.25">
      <c r="A21" s="18">
        <v>19</v>
      </c>
      <c r="B21" s="27" t="s">
        <v>13</v>
      </c>
      <c r="C21" s="25">
        <v>2700000</v>
      </c>
      <c r="D21" s="25">
        <v>2850000</v>
      </c>
      <c r="E21" s="6">
        <f t="shared" si="0"/>
        <v>150000</v>
      </c>
    </row>
    <row r="22" spans="1:5" x14ac:dyDescent="0.25">
      <c r="A22" s="27">
        <v>20</v>
      </c>
      <c r="B22" s="4" t="s">
        <v>28</v>
      </c>
      <c r="C22" s="25">
        <v>700000</v>
      </c>
      <c r="D22" s="25">
        <v>897750</v>
      </c>
      <c r="E22" s="6">
        <f t="shared" si="0"/>
        <v>197750</v>
      </c>
    </row>
    <row r="23" spans="1:5" x14ac:dyDescent="0.25">
      <c r="A23" s="89" t="s">
        <v>8</v>
      </c>
      <c r="B23" s="89"/>
      <c r="C23" s="89"/>
      <c r="D23" s="89"/>
      <c r="E23" s="8">
        <v>0</v>
      </c>
    </row>
    <row r="24" spans="1:5" x14ac:dyDescent="0.25">
      <c r="A24" s="89" t="s">
        <v>9</v>
      </c>
      <c r="B24" s="89"/>
      <c r="C24" s="89"/>
      <c r="D24" s="89"/>
      <c r="E24" s="8">
        <f>SUM(E3:E22)-E23</f>
        <v>-2148666</v>
      </c>
    </row>
    <row r="25" spans="1:5" x14ac:dyDescent="0.25">
      <c r="A25" s="18"/>
      <c r="C25" s="32"/>
      <c r="D25" s="25"/>
      <c r="E25" s="31"/>
    </row>
    <row r="26" spans="1:5" x14ac:dyDescent="0.25">
      <c r="A26" s="18"/>
      <c r="B26" s="36"/>
      <c r="C26" s="36"/>
      <c r="D26" s="36"/>
      <c r="E26" s="37"/>
    </row>
    <row r="27" spans="1:5" x14ac:dyDescent="0.25">
      <c r="A27" s="18"/>
      <c r="B27" s="36"/>
      <c r="C27" s="36"/>
      <c r="D27" s="36"/>
      <c r="E27" s="37"/>
    </row>
    <row r="28" spans="1:5" x14ac:dyDescent="0.25">
      <c r="A28" s="27"/>
      <c r="B28" s="27"/>
      <c r="C28" s="25"/>
      <c r="D28" s="25"/>
      <c r="E28" s="25"/>
    </row>
    <row r="29" spans="1:5" x14ac:dyDescent="0.25">
      <c r="A29" s="18"/>
      <c r="B29" s="27"/>
      <c r="C29" s="25"/>
      <c r="D29" s="25"/>
      <c r="E29" s="25"/>
    </row>
    <row r="30" spans="1:5" x14ac:dyDescent="0.25">
      <c r="A30" s="27"/>
      <c r="B30" s="27"/>
      <c r="C30" s="25"/>
      <c r="D30" s="25"/>
      <c r="E30" s="25"/>
    </row>
    <row r="31" spans="1:5" x14ac:dyDescent="0.25">
      <c r="A31" s="27"/>
      <c r="B31" s="27"/>
      <c r="C31" s="25"/>
      <c r="D31" s="25"/>
      <c r="E31" s="25"/>
    </row>
    <row r="32" spans="1:5" x14ac:dyDescent="0.25">
      <c r="A32" s="27"/>
      <c r="C32" s="25"/>
      <c r="D32" s="25"/>
      <c r="E32" s="25"/>
    </row>
    <row r="33" spans="1:5" x14ac:dyDescent="0.25">
      <c r="A33" s="27"/>
      <c r="C33" s="25"/>
      <c r="D33" s="25"/>
      <c r="E33" s="25"/>
    </row>
    <row r="34" spans="1:5" x14ac:dyDescent="0.25">
      <c r="A34" s="27"/>
      <c r="B34" s="27"/>
      <c r="C34" s="26"/>
      <c r="D34" s="26"/>
      <c r="E34" s="25"/>
    </row>
    <row r="35" spans="1:5" x14ac:dyDescent="0.25">
      <c r="A35" s="27"/>
      <c r="B35" s="29"/>
      <c r="C35" s="29"/>
      <c r="D35" s="29"/>
      <c r="E35" s="37"/>
    </row>
    <row r="36" spans="1:5" x14ac:dyDescent="0.25">
      <c r="A36" s="27"/>
      <c r="B36" s="29"/>
      <c r="C36" s="29"/>
      <c r="D36" s="29"/>
      <c r="E36" s="37"/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B39" s="32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B41" s="32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6"/>
      <c r="D45" s="9"/>
      <c r="E45" s="25"/>
    </row>
    <row r="46" spans="1:5" x14ac:dyDescent="0.25">
      <c r="A46" s="39"/>
      <c r="B46" s="39"/>
      <c r="C46" s="39"/>
      <c r="D46" s="39"/>
      <c r="E46" s="38"/>
    </row>
    <row r="47" spans="1:5" x14ac:dyDescent="0.25">
      <c r="A47" s="39"/>
      <c r="B47" s="39"/>
      <c r="C47" s="39"/>
      <c r="D47" s="39"/>
      <c r="E47" s="38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3:D23"/>
    <mergeCell ref="A24:D24"/>
  </mergeCells>
  <conditionalFormatting sqref="E1">
    <cfRule type="cellIs" dxfId="58" priority="5" operator="lessThan">
      <formula>0</formula>
    </cfRule>
  </conditionalFormatting>
  <conditionalFormatting sqref="E3:E117">
    <cfRule type="cellIs" dxfId="57" priority="1" operator="lessThan">
      <formula>0</formula>
    </cfRule>
  </conditionalFormatting>
  <conditionalFormatting sqref="E119:E163">
    <cfRule type="cellIs" dxfId="56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FC9E-5E66-4F2A-A80D-37BBD0FACE49}">
  <dimension ref="A1:E163"/>
  <sheetViews>
    <sheetView zoomScale="145" zoomScaleNormal="145" workbookViewId="0">
      <pane ySplit="1" topLeftCell="A5" activePane="bottomLeft" state="frozen"/>
      <selection pane="bottomLeft" activeCell="D25" sqref="D25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33" t="s">
        <v>0</v>
      </c>
      <c r="B1" s="3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46050</v>
      </c>
      <c r="B2" s="88"/>
      <c r="C2" s="88"/>
      <c r="D2" s="88"/>
      <c r="E2" s="88"/>
    </row>
    <row r="3" spans="1:5" x14ac:dyDescent="0.25">
      <c r="A3" s="4">
        <v>1</v>
      </c>
      <c r="B3" s="4" t="s">
        <v>66</v>
      </c>
      <c r="C3" s="6">
        <v>1000000</v>
      </c>
      <c r="D3" s="6">
        <v>1187500</v>
      </c>
      <c r="E3" s="6">
        <f t="shared" ref="E3:E45" si="0">D3-C3</f>
        <v>187500</v>
      </c>
    </row>
    <row r="4" spans="1:5" x14ac:dyDescent="0.25">
      <c r="A4" s="27">
        <v>2</v>
      </c>
      <c r="B4" s="4" t="s">
        <v>43</v>
      </c>
      <c r="C4" s="25">
        <v>1110000</v>
      </c>
      <c r="D4" s="25">
        <v>1282500</v>
      </c>
      <c r="E4" s="6">
        <f t="shared" si="0"/>
        <v>172500</v>
      </c>
    </row>
    <row r="5" spans="1:5" x14ac:dyDescent="0.25">
      <c r="A5" s="4">
        <v>3</v>
      </c>
      <c r="B5" s="4" t="s">
        <v>66</v>
      </c>
      <c r="C5" s="25">
        <v>1099999</v>
      </c>
      <c r="D5" s="6">
        <v>1187500</v>
      </c>
      <c r="E5" s="6">
        <f t="shared" si="0"/>
        <v>87501</v>
      </c>
    </row>
    <row r="6" spans="1:5" x14ac:dyDescent="0.25">
      <c r="A6" s="27">
        <v>4</v>
      </c>
      <c r="B6" s="4" t="s">
        <v>33</v>
      </c>
      <c r="C6" s="25">
        <v>1700000</v>
      </c>
      <c r="D6" s="25">
        <v>1804999</v>
      </c>
      <c r="E6" s="6">
        <f t="shared" si="0"/>
        <v>104999</v>
      </c>
    </row>
    <row r="7" spans="1:5" x14ac:dyDescent="0.25">
      <c r="A7" s="4">
        <v>5</v>
      </c>
      <c r="B7" s="4" t="s">
        <v>33</v>
      </c>
      <c r="C7" s="25">
        <v>1600000</v>
      </c>
      <c r="D7" s="25">
        <v>1776500</v>
      </c>
      <c r="E7" s="6">
        <f t="shared" si="0"/>
        <v>176500</v>
      </c>
    </row>
    <row r="8" spans="1:5" x14ac:dyDescent="0.25">
      <c r="A8" s="27">
        <v>6</v>
      </c>
      <c r="B8" s="4" t="s">
        <v>19</v>
      </c>
      <c r="C8" s="25">
        <v>570000</v>
      </c>
      <c r="D8" s="25">
        <v>589000</v>
      </c>
      <c r="E8" s="6">
        <f t="shared" si="0"/>
        <v>19000</v>
      </c>
    </row>
    <row r="9" spans="1:5" x14ac:dyDescent="0.25">
      <c r="A9" s="4">
        <v>7</v>
      </c>
      <c r="B9" s="4" t="s">
        <v>19</v>
      </c>
      <c r="C9" s="25">
        <v>580000</v>
      </c>
      <c r="D9" s="25">
        <v>598500</v>
      </c>
      <c r="E9" s="6">
        <f t="shared" si="0"/>
        <v>18500</v>
      </c>
    </row>
    <row r="10" spans="1:5" x14ac:dyDescent="0.25">
      <c r="A10" s="27">
        <v>8</v>
      </c>
      <c r="B10" s="4" t="s">
        <v>19</v>
      </c>
      <c r="C10" s="25">
        <v>580000</v>
      </c>
      <c r="D10" s="25">
        <v>598500</v>
      </c>
      <c r="E10" s="6">
        <f t="shared" si="0"/>
        <v>18500</v>
      </c>
    </row>
    <row r="11" spans="1:5" x14ac:dyDescent="0.25">
      <c r="A11" s="4">
        <v>9</v>
      </c>
      <c r="B11" s="4" t="s">
        <v>19</v>
      </c>
      <c r="C11" s="25">
        <v>580000</v>
      </c>
      <c r="D11" s="25">
        <v>598500</v>
      </c>
      <c r="E11" s="6">
        <f t="shared" si="0"/>
        <v>18500</v>
      </c>
    </row>
    <row r="12" spans="1:5" x14ac:dyDescent="0.25">
      <c r="A12" s="27">
        <v>10</v>
      </c>
      <c r="B12" s="4" t="s">
        <v>5</v>
      </c>
      <c r="C12" s="25">
        <v>5000000</v>
      </c>
      <c r="D12" s="25"/>
      <c r="E12" s="6">
        <f t="shared" si="0"/>
        <v>-5000000</v>
      </c>
    </row>
    <row r="13" spans="1:5" x14ac:dyDescent="0.25">
      <c r="A13" s="4">
        <v>11</v>
      </c>
      <c r="B13" s="4" t="s">
        <v>16</v>
      </c>
      <c r="C13" s="25">
        <v>650000</v>
      </c>
      <c r="D13" s="25">
        <v>844444</v>
      </c>
      <c r="E13" s="6">
        <f t="shared" si="0"/>
        <v>194444</v>
      </c>
    </row>
    <row r="14" spans="1:5" x14ac:dyDescent="0.25">
      <c r="A14" s="27">
        <v>12</v>
      </c>
      <c r="B14" s="18" t="s">
        <v>27</v>
      </c>
      <c r="C14" s="25">
        <v>2600000</v>
      </c>
      <c r="D14" s="25">
        <v>2850000</v>
      </c>
      <c r="E14" s="6">
        <f t="shared" si="0"/>
        <v>250000</v>
      </c>
    </row>
    <row r="15" spans="1:5" x14ac:dyDescent="0.25">
      <c r="A15" s="4">
        <v>13</v>
      </c>
      <c r="B15" s="4" t="s">
        <v>28</v>
      </c>
      <c r="C15" s="25">
        <v>700000</v>
      </c>
      <c r="D15" s="25">
        <v>844443</v>
      </c>
      <c r="E15" s="6">
        <f t="shared" si="0"/>
        <v>144443</v>
      </c>
    </row>
    <row r="16" spans="1:5" x14ac:dyDescent="0.25">
      <c r="A16" s="27">
        <v>14</v>
      </c>
      <c r="B16" s="4" t="s">
        <v>19</v>
      </c>
      <c r="C16" s="25">
        <v>500000</v>
      </c>
      <c r="D16" s="25">
        <v>589000</v>
      </c>
      <c r="E16" s="6">
        <f t="shared" si="0"/>
        <v>89000</v>
      </c>
    </row>
    <row r="17" spans="1:5" x14ac:dyDescent="0.25">
      <c r="A17" s="4">
        <v>15</v>
      </c>
      <c r="B17" s="4" t="s">
        <v>19</v>
      </c>
      <c r="C17" s="25">
        <v>525000</v>
      </c>
      <c r="D17" s="25">
        <v>589000</v>
      </c>
      <c r="E17" s="6">
        <f t="shared" si="0"/>
        <v>64000</v>
      </c>
    </row>
    <row r="18" spans="1:5" x14ac:dyDescent="0.25">
      <c r="A18" s="27">
        <v>16</v>
      </c>
      <c r="B18" s="4" t="s">
        <v>13</v>
      </c>
      <c r="C18" s="25">
        <v>3100000</v>
      </c>
      <c r="D18" s="25">
        <v>3230000</v>
      </c>
      <c r="E18" s="6">
        <f t="shared" si="0"/>
        <v>130000</v>
      </c>
    </row>
    <row r="19" spans="1:5" x14ac:dyDescent="0.25">
      <c r="A19" s="4">
        <v>17</v>
      </c>
      <c r="B19" s="4" t="s">
        <v>5</v>
      </c>
      <c r="C19" s="25">
        <v>4800000</v>
      </c>
      <c r="D19" s="25"/>
      <c r="E19" s="6">
        <f t="shared" si="0"/>
        <v>-4800000</v>
      </c>
    </row>
    <row r="20" spans="1:5" x14ac:dyDescent="0.25">
      <c r="A20" s="27">
        <v>18</v>
      </c>
      <c r="B20" s="35" t="s">
        <v>90</v>
      </c>
      <c r="C20" s="25">
        <v>6194433</v>
      </c>
      <c r="D20" s="25">
        <v>7462187</v>
      </c>
      <c r="E20" s="6">
        <f t="shared" si="0"/>
        <v>1267754</v>
      </c>
    </row>
    <row r="21" spans="1:5" x14ac:dyDescent="0.25">
      <c r="A21" s="4">
        <v>19</v>
      </c>
      <c r="B21" s="27" t="s">
        <v>19</v>
      </c>
      <c r="C21" s="25">
        <v>500000</v>
      </c>
      <c r="D21" s="25"/>
      <c r="E21" s="6">
        <f t="shared" si="0"/>
        <v>-500000</v>
      </c>
    </row>
    <row r="22" spans="1:5" x14ac:dyDescent="0.25">
      <c r="A22" s="27">
        <v>20</v>
      </c>
      <c r="B22" s="4" t="s">
        <v>5</v>
      </c>
      <c r="C22" s="25">
        <v>5100000</v>
      </c>
      <c r="D22" s="25">
        <v>5130000</v>
      </c>
      <c r="E22" s="6">
        <f t="shared" si="0"/>
        <v>30000</v>
      </c>
    </row>
    <row r="23" spans="1:5" x14ac:dyDescent="0.25">
      <c r="A23" s="4">
        <v>21</v>
      </c>
      <c r="B23" s="4" t="s">
        <v>5</v>
      </c>
      <c r="C23" s="25">
        <v>5000000</v>
      </c>
      <c r="D23" s="25"/>
      <c r="E23" s="6">
        <f t="shared" si="0"/>
        <v>-5000000</v>
      </c>
    </row>
    <row r="24" spans="1:5" x14ac:dyDescent="0.25">
      <c r="A24" s="27">
        <v>22</v>
      </c>
      <c r="B24" s="32" t="s">
        <v>13</v>
      </c>
      <c r="C24" s="25">
        <v>3000000</v>
      </c>
      <c r="D24" s="32">
        <v>3277500</v>
      </c>
      <c r="E24" s="6">
        <f t="shared" si="0"/>
        <v>277500</v>
      </c>
    </row>
    <row r="25" spans="1:5" x14ac:dyDescent="0.25">
      <c r="A25" s="18">
        <v>23</v>
      </c>
      <c r="B25" s="4" t="s">
        <v>5</v>
      </c>
      <c r="C25" s="32">
        <v>4900000</v>
      </c>
      <c r="D25" s="25"/>
      <c r="E25" s="31">
        <f t="shared" si="0"/>
        <v>-4900000</v>
      </c>
    </row>
    <row r="26" spans="1:5" x14ac:dyDescent="0.25">
      <c r="A26" s="18">
        <v>24</v>
      </c>
      <c r="B26" s="36" t="s">
        <v>33</v>
      </c>
      <c r="C26" s="36">
        <v>1600000</v>
      </c>
      <c r="D26" s="36">
        <v>1843000</v>
      </c>
      <c r="E26" s="37">
        <f t="shared" si="0"/>
        <v>243000</v>
      </c>
    </row>
    <row r="27" spans="1:5" x14ac:dyDescent="0.25">
      <c r="A27" s="18">
        <v>25</v>
      </c>
      <c r="B27" s="36" t="s">
        <v>28</v>
      </c>
      <c r="C27" s="36">
        <v>670000</v>
      </c>
      <c r="D27" s="36">
        <v>892050</v>
      </c>
      <c r="E27" s="37">
        <f t="shared" si="0"/>
        <v>222050</v>
      </c>
    </row>
    <row r="28" spans="1:5" x14ac:dyDescent="0.25">
      <c r="A28" s="27">
        <v>26</v>
      </c>
      <c r="B28" s="27" t="s">
        <v>51</v>
      </c>
      <c r="C28" s="25">
        <v>2000000</v>
      </c>
      <c r="D28" s="25">
        <v>2185000</v>
      </c>
      <c r="E28" s="25">
        <f t="shared" si="0"/>
        <v>185000</v>
      </c>
    </row>
    <row r="29" spans="1:5" x14ac:dyDescent="0.25">
      <c r="A29" s="18">
        <v>27</v>
      </c>
      <c r="B29" s="27" t="s">
        <v>19</v>
      </c>
      <c r="C29" s="25">
        <v>525000</v>
      </c>
      <c r="D29" s="25">
        <v>589000</v>
      </c>
      <c r="E29" s="25">
        <f t="shared" si="0"/>
        <v>64000</v>
      </c>
    </row>
    <row r="30" spans="1:5" x14ac:dyDescent="0.25">
      <c r="A30" s="27">
        <v>28</v>
      </c>
      <c r="B30" s="27" t="s">
        <v>40</v>
      </c>
      <c r="C30" s="25">
        <v>100000</v>
      </c>
      <c r="D30" s="25">
        <v>205000</v>
      </c>
      <c r="E30" s="25">
        <f t="shared" si="0"/>
        <v>105000</v>
      </c>
    </row>
    <row r="31" spans="1:5" x14ac:dyDescent="0.25">
      <c r="A31" s="27">
        <v>29</v>
      </c>
      <c r="B31" s="27" t="s">
        <v>41</v>
      </c>
      <c r="C31" s="25">
        <v>1500000</v>
      </c>
      <c r="D31" s="25">
        <v>1719500</v>
      </c>
      <c r="E31" s="25">
        <f t="shared" si="0"/>
        <v>219500</v>
      </c>
    </row>
    <row r="32" spans="1:5" x14ac:dyDescent="0.25">
      <c r="A32" s="27">
        <v>30</v>
      </c>
      <c r="B32" s="4" t="s">
        <v>19</v>
      </c>
      <c r="C32" s="25">
        <v>500000</v>
      </c>
      <c r="D32" s="25">
        <v>589000</v>
      </c>
      <c r="E32" s="25">
        <f t="shared" si="0"/>
        <v>89000</v>
      </c>
    </row>
    <row r="33" spans="1:5" x14ac:dyDescent="0.25">
      <c r="A33" s="27">
        <v>31</v>
      </c>
      <c r="B33" s="4" t="s">
        <v>5</v>
      </c>
      <c r="C33" s="25">
        <v>4888888</v>
      </c>
      <c r="D33" s="25"/>
      <c r="E33" s="25">
        <f t="shared" si="0"/>
        <v>-4888888</v>
      </c>
    </row>
    <row r="34" spans="1:5" x14ac:dyDescent="0.25">
      <c r="A34" s="27">
        <v>32</v>
      </c>
      <c r="B34" s="27" t="s">
        <v>19</v>
      </c>
      <c r="C34" s="26">
        <v>520000</v>
      </c>
      <c r="D34" s="26">
        <v>589000</v>
      </c>
      <c r="E34" s="25">
        <f t="shared" si="0"/>
        <v>69000</v>
      </c>
    </row>
    <row r="35" spans="1:5" x14ac:dyDescent="0.25">
      <c r="A35" s="27">
        <v>33</v>
      </c>
      <c r="B35" s="29" t="s">
        <v>23</v>
      </c>
      <c r="C35" s="29">
        <v>1599999</v>
      </c>
      <c r="D35" s="29"/>
      <c r="E35" s="37">
        <f t="shared" si="0"/>
        <v>-1599999</v>
      </c>
    </row>
    <row r="36" spans="1:5" x14ac:dyDescent="0.25">
      <c r="A36" s="27">
        <v>34</v>
      </c>
      <c r="B36" s="29" t="s">
        <v>19</v>
      </c>
      <c r="C36" s="29">
        <v>356000</v>
      </c>
      <c r="D36" s="25">
        <v>589000</v>
      </c>
      <c r="E36" s="37">
        <f t="shared" si="0"/>
        <v>233000</v>
      </c>
    </row>
    <row r="37" spans="1:5" x14ac:dyDescent="0.25">
      <c r="A37" s="27">
        <v>35</v>
      </c>
      <c r="B37" s="4" t="s">
        <v>23</v>
      </c>
      <c r="C37" s="6">
        <v>1600000</v>
      </c>
      <c r="D37" s="6"/>
      <c r="E37" s="25">
        <f t="shared" si="0"/>
        <v>-1600000</v>
      </c>
    </row>
    <row r="38" spans="1:5" x14ac:dyDescent="0.25">
      <c r="A38" s="27">
        <v>36</v>
      </c>
      <c r="B38" s="4" t="s">
        <v>13</v>
      </c>
      <c r="C38" s="6">
        <v>3100000</v>
      </c>
      <c r="D38" s="6">
        <v>3286999</v>
      </c>
      <c r="E38" s="25">
        <f t="shared" si="0"/>
        <v>186999</v>
      </c>
    </row>
    <row r="39" spans="1:5" x14ac:dyDescent="0.25">
      <c r="A39" s="27">
        <v>37</v>
      </c>
      <c r="B39" s="32" t="s">
        <v>13</v>
      </c>
      <c r="C39" s="6">
        <v>3000000</v>
      </c>
      <c r="D39" s="6">
        <v>3182500</v>
      </c>
      <c r="E39" s="25">
        <f t="shared" si="0"/>
        <v>182500</v>
      </c>
    </row>
    <row r="40" spans="1:5" x14ac:dyDescent="0.25">
      <c r="A40" s="27">
        <v>38</v>
      </c>
      <c r="B40" s="4" t="s">
        <v>23</v>
      </c>
      <c r="C40" s="6">
        <v>1500000</v>
      </c>
      <c r="D40" s="6"/>
      <c r="E40" s="25">
        <f t="shared" si="0"/>
        <v>-1500000</v>
      </c>
    </row>
    <row r="41" spans="1:5" x14ac:dyDescent="0.25">
      <c r="A41" s="27">
        <v>39</v>
      </c>
      <c r="B41" s="32" t="s">
        <v>13</v>
      </c>
      <c r="C41" s="6">
        <v>3100000</v>
      </c>
      <c r="D41" s="6"/>
      <c r="E41" s="25">
        <f t="shared" si="0"/>
        <v>-3100000</v>
      </c>
    </row>
    <row r="42" spans="1:5" x14ac:dyDescent="0.25">
      <c r="A42" s="27">
        <v>40</v>
      </c>
      <c r="B42" s="4" t="s">
        <v>73</v>
      </c>
      <c r="C42" s="6">
        <v>2050000</v>
      </c>
      <c r="D42" s="6">
        <f>2465773</f>
        <v>2465773</v>
      </c>
      <c r="E42" s="25">
        <f t="shared" si="0"/>
        <v>415773</v>
      </c>
    </row>
    <row r="43" spans="1:5" x14ac:dyDescent="0.25">
      <c r="A43" s="27">
        <v>41</v>
      </c>
      <c r="B43" s="4" t="s">
        <v>5</v>
      </c>
      <c r="C43" s="6">
        <v>4900000</v>
      </c>
      <c r="D43" s="6"/>
      <c r="E43" s="25">
        <f t="shared" si="0"/>
        <v>-4900000</v>
      </c>
    </row>
    <row r="44" spans="1:5" x14ac:dyDescent="0.25">
      <c r="A44" s="27">
        <v>42</v>
      </c>
      <c r="B44" s="4" t="s">
        <v>5</v>
      </c>
      <c r="C44" s="6">
        <v>4999999</v>
      </c>
      <c r="D44" s="21"/>
      <c r="E44" s="25">
        <f t="shared" si="0"/>
        <v>-4999999</v>
      </c>
    </row>
    <row r="45" spans="1:5" x14ac:dyDescent="0.25">
      <c r="A45" s="27">
        <v>43</v>
      </c>
      <c r="B45" s="4" t="s">
        <v>5</v>
      </c>
      <c r="C45" s="6">
        <v>4999999</v>
      </c>
      <c r="D45" s="9"/>
      <c r="E45" s="25">
        <f t="shared" si="0"/>
        <v>-4999999</v>
      </c>
    </row>
    <row r="46" spans="1:5" x14ac:dyDescent="0.25">
      <c r="A46" s="89" t="s">
        <v>8</v>
      </c>
      <c r="B46" s="89"/>
      <c r="C46" s="89"/>
      <c r="D46" s="89"/>
      <c r="E46" s="8">
        <v>0</v>
      </c>
    </row>
    <row r="47" spans="1:5" x14ac:dyDescent="0.25">
      <c r="A47" s="89" t="s">
        <v>9</v>
      </c>
      <c r="B47" s="89"/>
      <c r="C47" s="89"/>
      <c r="D47" s="89"/>
      <c r="E47" s="8">
        <f>SUM(E3:E45)-E46</f>
        <v>-42323422</v>
      </c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46:D46"/>
    <mergeCell ref="A47:D47"/>
  </mergeCells>
  <conditionalFormatting sqref="E1">
    <cfRule type="cellIs" dxfId="55" priority="5" operator="lessThan">
      <formula>0</formula>
    </cfRule>
  </conditionalFormatting>
  <conditionalFormatting sqref="E3:E117">
    <cfRule type="cellIs" dxfId="54" priority="1" operator="lessThan">
      <formula>0</formula>
    </cfRule>
  </conditionalFormatting>
  <conditionalFormatting sqref="E119:E163">
    <cfRule type="cellIs" dxfId="53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A559B-8B11-4741-9D6C-EF5E983C49A1}">
  <dimension ref="A1:E163"/>
  <sheetViews>
    <sheetView zoomScale="145" zoomScaleNormal="145" workbookViewId="0">
      <pane ySplit="1" topLeftCell="A11" activePane="bottomLeft" state="frozen"/>
      <selection pane="bottomLeft" activeCell="D24" sqref="D24"/>
    </sheetView>
  </sheetViews>
  <sheetFormatPr defaultRowHeight="15" x14ac:dyDescent="0.25"/>
  <cols>
    <col min="1" max="1" width="7.85546875" style="4" bestFit="1" customWidth="1"/>
    <col min="2" max="2" width="37.5703125" style="4" customWidth="1"/>
    <col min="3" max="3" width="23.5703125" style="4" bestFit="1" customWidth="1"/>
    <col min="4" max="4" width="16.28515625" style="4" customWidth="1"/>
    <col min="5" max="5" width="14.85546875" style="4" customWidth="1"/>
    <col min="6" max="16384" width="9.140625" style="4"/>
  </cols>
  <sheetData>
    <row r="1" spans="1:5" x14ac:dyDescent="0.25">
      <c r="A1" s="30" t="s">
        <v>0</v>
      </c>
      <c r="B1" s="30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46049</v>
      </c>
      <c r="B2" s="88"/>
      <c r="C2" s="88"/>
      <c r="D2" s="88"/>
      <c r="E2" s="88"/>
    </row>
    <row r="3" spans="1:5" x14ac:dyDescent="0.25">
      <c r="A3" s="4">
        <v>1</v>
      </c>
      <c r="B3" s="4" t="s">
        <v>81</v>
      </c>
      <c r="C3" s="6">
        <v>6500000</v>
      </c>
      <c r="D3" s="6">
        <v>9215000</v>
      </c>
      <c r="E3" s="6">
        <f t="shared" ref="E3:E25" si="0">D3-C3</f>
        <v>2715000</v>
      </c>
    </row>
    <row r="4" spans="1:5" x14ac:dyDescent="0.25">
      <c r="A4" s="27">
        <v>2</v>
      </c>
      <c r="B4" s="4" t="s">
        <v>42</v>
      </c>
      <c r="C4" s="25">
        <v>130000</v>
      </c>
      <c r="D4" s="25">
        <v>285000</v>
      </c>
      <c r="E4" s="6">
        <f t="shared" si="0"/>
        <v>155000</v>
      </c>
    </row>
    <row r="5" spans="1:5" x14ac:dyDescent="0.25">
      <c r="A5" s="4">
        <v>3</v>
      </c>
      <c r="B5" s="4" t="s">
        <v>5</v>
      </c>
      <c r="C5" s="25">
        <v>5777777</v>
      </c>
      <c r="D5" s="25">
        <v>5985000</v>
      </c>
      <c r="E5" s="6">
        <f t="shared" si="0"/>
        <v>207223</v>
      </c>
    </row>
    <row r="6" spans="1:5" x14ac:dyDescent="0.25">
      <c r="A6" s="27">
        <v>4</v>
      </c>
      <c r="B6" s="4" t="s">
        <v>23</v>
      </c>
      <c r="C6" s="25">
        <v>1750000</v>
      </c>
      <c r="D6" s="25">
        <v>1887700</v>
      </c>
      <c r="E6" s="6">
        <f t="shared" si="0"/>
        <v>137700</v>
      </c>
    </row>
    <row r="7" spans="1:5" x14ac:dyDescent="0.25">
      <c r="A7" s="4">
        <v>5</v>
      </c>
      <c r="B7" s="4" t="s">
        <v>43</v>
      </c>
      <c r="C7" s="25">
        <v>1250000</v>
      </c>
      <c r="D7" s="25">
        <v>1310999</v>
      </c>
      <c r="E7" s="6">
        <f t="shared" si="0"/>
        <v>60999</v>
      </c>
    </row>
    <row r="8" spans="1:5" x14ac:dyDescent="0.25">
      <c r="A8" s="27">
        <v>6</v>
      </c>
      <c r="B8" s="4" t="s">
        <v>27</v>
      </c>
      <c r="C8" s="25">
        <v>3400000</v>
      </c>
      <c r="D8" s="25">
        <v>3576750</v>
      </c>
      <c r="E8" s="6">
        <f t="shared" si="0"/>
        <v>176750</v>
      </c>
    </row>
    <row r="9" spans="1:5" x14ac:dyDescent="0.25">
      <c r="A9" s="4">
        <v>7</v>
      </c>
      <c r="B9" s="4" t="s">
        <v>23</v>
      </c>
      <c r="C9" s="25">
        <v>1800000</v>
      </c>
      <c r="D9" s="25">
        <v>1900000</v>
      </c>
      <c r="E9" s="6">
        <f t="shared" si="0"/>
        <v>100000</v>
      </c>
    </row>
    <row r="10" spans="1:5" x14ac:dyDescent="0.25">
      <c r="A10" s="27">
        <v>8</v>
      </c>
      <c r="B10" s="4" t="s">
        <v>43</v>
      </c>
      <c r="C10" s="25">
        <v>1250000</v>
      </c>
      <c r="D10" s="25">
        <v>1310999</v>
      </c>
      <c r="E10" s="6">
        <f t="shared" si="0"/>
        <v>60999</v>
      </c>
    </row>
    <row r="11" spans="1:5" x14ac:dyDescent="0.25">
      <c r="A11" s="4">
        <v>9</v>
      </c>
      <c r="B11" s="4" t="s">
        <v>26</v>
      </c>
      <c r="C11" s="25">
        <v>1999999</v>
      </c>
      <c r="D11" s="25">
        <v>2327500</v>
      </c>
      <c r="E11" s="6">
        <f t="shared" si="0"/>
        <v>327501</v>
      </c>
    </row>
    <row r="12" spans="1:5" x14ac:dyDescent="0.25">
      <c r="A12" s="27">
        <v>10</v>
      </c>
      <c r="B12" s="4" t="s">
        <v>56</v>
      </c>
      <c r="C12" s="25">
        <v>1100000</v>
      </c>
      <c r="D12" s="25">
        <v>1376338</v>
      </c>
      <c r="E12" s="6">
        <f t="shared" si="0"/>
        <v>276338</v>
      </c>
    </row>
    <row r="13" spans="1:5" x14ac:dyDescent="0.25">
      <c r="A13" s="18">
        <v>11</v>
      </c>
      <c r="B13" s="4" t="s">
        <v>33</v>
      </c>
      <c r="C13" s="25">
        <v>2000000</v>
      </c>
      <c r="D13" s="25">
        <v>2175500</v>
      </c>
      <c r="E13" s="6">
        <f t="shared" si="0"/>
        <v>175500</v>
      </c>
    </row>
    <row r="14" spans="1:5" x14ac:dyDescent="0.25">
      <c r="A14" s="27">
        <v>12</v>
      </c>
      <c r="B14" s="18" t="s">
        <v>80</v>
      </c>
      <c r="C14" s="25">
        <v>7000000</v>
      </c>
      <c r="D14" s="25">
        <v>9148370</v>
      </c>
      <c r="E14" s="6">
        <f t="shared" si="0"/>
        <v>2148370</v>
      </c>
    </row>
    <row r="15" spans="1:5" x14ac:dyDescent="0.25">
      <c r="A15" s="18">
        <v>13</v>
      </c>
      <c r="B15" s="4" t="s">
        <v>27</v>
      </c>
      <c r="C15" s="25">
        <v>3400000</v>
      </c>
      <c r="D15" s="25">
        <v>3610000</v>
      </c>
      <c r="E15" s="6">
        <f t="shared" si="0"/>
        <v>210000</v>
      </c>
    </row>
    <row r="16" spans="1:5" x14ac:dyDescent="0.25">
      <c r="A16" s="27">
        <v>14</v>
      </c>
      <c r="B16" s="4" t="s">
        <v>16</v>
      </c>
      <c r="C16" s="25">
        <v>1300000</v>
      </c>
      <c r="D16" s="25">
        <v>1425000</v>
      </c>
      <c r="E16" s="6">
        <f t="shared" si="0"/>
        <v>125000</v>
      </c>
    </row>
    <row r="17" spans="1:5" x14ac:dyDescent="0.25">
      <c r="A17" s="18">
        <v>15</v>
      </c>
      <c r="B17" s="4" t="s">
        <v>27</v>
      </c>
      <c r="C17" s="25">
        <v>3350000</v>
      </c>
      <c r="D17" s="25">
        <v>3576750</v>
      </c>
      <c r="E17" s="6">
        <f t="shared" si="0"/>
        <v>226750</v>
      </c>
    </row>
    <row r="18" spans="1:5" x14ac:dyDescent="0.25">
      <c r="A18" s="27">
        <v>16</v>
      </c>
      <c r="B18" s="4" t="s">
        <v>89</v>
      </c>
      <c r="C18" s="25">
        <v>135000</v>
      </c>
      <c r="D18" s="25">
        <v>750000</v>
      </c>
      <c r="E18" s="6">
        <f t="shared" si="0"/>
        <v>615000</v>
      </c>
    </row>
    <row r="19" spans="1:5" x14ac:dyDescent="0.25">
      <c r="A19" s="18">
        <v>17</v>
      </c>
      <c r="B19" s="4" t="s">
        <v>16</v>
      </c>
      <c r="C19" s="25">
        <v>1300000</v>
      </c>
      <c r="D19" s="25">
        <v>1510500</v>
      </c>
      <c r="E19" s="6">
        <f t="shared" si="0"/>
        <v>210500</v>
      </c>
    </row>
    <row r="20" spans="1:5" x14ac:dyDescent="0.25">
      <c r="A20" s="27">
        <v>18</v>
      </c>
      <c r="B20" s="27" t="s">
        <v>33</v>
      </c>
      <c r="C20" s="25">
        <v>2000000</v>
      </c>
      <c r="D20" s="25">
        <v>2185000</v>
      </c>
      <c r="E20" s="6">
        <f t="shared" si="0"/>
        <v>185000</v>
      </c>
    </row>
    <row r="21" spans="1:5" x14ac:dyDescent="0.25">
      <c r="A21" s="18">
        <v>19</v>
      </c>
      <c r="B21" s="27" t="s">
        <v>33</v>
      </c>
      <c r="C21" s="25">
        <v>2000000</v>
      </c>
      <c r="D21" s="25">
        <v>2270500</v>
      </c>
      <c r="E21" s="6">
        <f t="shared" si="0"/>
        <v>270500</v>
      </c>
    </row>
    <row r="22" spans="1:5" x14ac:dyDescent="0.25">
      <c r="A22" s="27">
        <v>20</v>
      </c>
      <c r="B22" s="27" t="s">
        <v>27</v>
      </c>
      <c r="C22" s="25">
        <v>3400000</v>
      </c>
      <c r="D22" s="25">
        <v>3576750</v>
      </c>
      <c r="E22" s="6">
        <f t="shared" si="0"/>
        <v>176750</v>
      </c>
    </row>
    <row r="23" spans="1:5" x14ac:dyDescent="0.25">
      <c r="A23" s="18">
        <v>21</v>
      </c>
      <c r="B23" s="27" t="s">
        <v>26</v>
      </c>
      <c r="C23" s="25">
        <v>2200000</v>
      </c>
      <c r="D23" s="25">
        <v>2336000</v>
      </c>
      <c r="E23" s="6">
        <f t="shared" si="0"/>
        <v>136000</v>
      </c>
    </row>
    <row r="24" spans="1:5" x14ac:dyDescent="0.25">
      <c r="A24" s="27">
        <v>22</v>
      </c>
      <c r="B24" s="32" t="s">
        <v>33</v>
      </c>
      <c r="C24" s="25">
        <v>2000000</v>
      </c>
      <c r="D24" s="32"/>
      <c r="E24" s="6">
        <f t="shared" si="0"/>
        <v>-2000000</v>
      </c>
    </row>
    <row r="25" spans="1:5" x14ac:dyDescent="0.25">
      <c r="A25" s="18">
        <v>23</v>
      </c>
      <c r="B25" s="32" t="s">
        <v>27</v>
      </c>
      <c r="C25" s="32">
        <v>3200000</v>
      </c>
      <c r="D25" s="25">
        <v>3576750</v>
      </c>
      <c r="E25" s="31">
        <f t="shared" si="0"/>
        <v>376750</v>
      </c>
    </row>
    <row r="26" spans="1:5" x14ac:dyDescent="0.25">
      <c r="A26" s="89" t="s">
        <v>8</v>
      </c>
      <c r="B26" s="89"/>
      <c r="C26" s="89"/>
      <c r="D26" s="89"/>
      <c r="E26" s="8">
        <v>119498</v>
      </c>
    </row>
    <row r="27" spans="1:5" x14ac:dyDescent="0.25">
      <c r="A27" s="89" t="s">
        <v>9</v>
      </c>
      <c r="B27" s="89"/>
      <c r="C27" s="89"/>
      <c r="D27" s="89"/>
      <c r="E27" s="8">
        <f>SUM(E5:E25)-E26</f>
        <v>4084132</v>
      </c>
    </row>
    <row r="28" spans="1:5" x14ac:dyDescent="0.25">
      <c r="A28" s="27"/>
      <c r="B28" s="27"/>
      <c r="C28" s="25"/>
      <c r="D28" s="25"/>
      <c r="E28" s="25"/>
    </row>
    <row r="29" spans="1:5" x14ac:dyDescent="0.25">
      <c r="A29" s="27"/>
      <c r="B29" s="27"/>
      <c r="C29" s="25"/>
      <c r="D29" s="25"/>
      <c r="E29" s="25"/>
    </row>
    <row r="30" spans="1:5" x14ac:dyDescent="0.25">
      <c r="A30" s="27"/>
      <c r="B30" s="27"/>
      <c r="C30" s="25"/>
      <c r="D30" s="25"/>
      <c r="E30" s="25"/>
    </row>
    <row r="31" spans="1:5" x14ac:dyDescent="0.25">
      <c r="A31" s="27"/>
      <c r="B31" s="27"/>
      <c r="C31" s="25"/>
      <c r="D31" s="25"/>
      <c r="E31" s="25"/>
    </row>
    <row r="32" spans="1:5" x14ac:dyDescent="0.25">
      <c r="A32" s="27"/>
      <c r="B32" s="27"/>
      <c r="C32" s="25"/>
      <c r="D32" s="25"/>
      <c r="E32" s="25"/>
    </row>
    <row r="33" spans="1:5" x14ac:dyDescent="0.25">
      <c r="A33" s="27"/>
      <c r="B33" s="27"/>
      <c r="C33" s="25"/>
      <c r="D33" s="25"/>
      <c r="E33" s="25"/>
    </row>
    <row r="34" spans="1:5" x14ac:dyDescent="0.25">
      <c r="A34" s="27"/>
      <c r="B34" s="26"/>
      <c r="C34" s="26"/>
      <c r="D34" s="26"/>
      <c r="E34" s="25"/>
    </row>
    <row r="35" spans="1:5" x14ac:dyDescent="0.25">
      <c r="A35" s="29"/>
      <c r="B35" s="29"/>
      <c r="C35" s="29"/>
      <c r="D35" s="29"/>
      <c r="E35" s="8"/>
    </row>
    <row r="36" spans="1:5" x14ac:dyDescent="0.25">
      <c r="A36" s="29"/>
      <c r="B36" s="29"/>
      <c r="C36" s="29"/>
      <c r="D36" s="29"/>
      <c r="E36" s="8"/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21"/>
      <c r="D45" s="9"/>
      <c r="E45" s="25"/>
    </row>
    <row r="46" spans="1:5" x14ac:dyDescent="0.25">
      <c r="A46" s="27"/>
      <c r="C46" s="21"/>
      <c r="D46" s="6"/>
      <c r="E46" s="25"/>
    </row>
    <row r="47" spans="1:5" x14ac:dyDescent="0.25">
      <c r="A47" s="27"/>
      <c r="C47" s="6"/>
      <c r="D47" s="6"/>
      <c r="E47" s="25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6:D26"/>
    <mergeCell ref="A27:D27"/>
  </mergeCells>
  <conditionalFormatting sqref="E1">
    <cfRule type="cellIs" dxfId="52" priority="5" operator="lessThan">
      <formula>0</formula>
    </cfRule>
  </conditionalFormatting>
  <conditionalFormatting sqref="E3:E117">
    <cfRule type="cellIs" dxfId="51" priority="1" operator="lessThan">
      <formula>0</formula>
    </cfRule>
  </conditionalFormatting>
  <conditionalFormatting sqref="E119:E163">
    <cfRule type="cellIs" dxfId="50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B45F-5965-4AA9-8335-D80B65B42E32}">
  <dimension ref="A1:E163"/>
  <sheetViews>
    <sheetView zoomScale="145" zoomScaleNormal="145" workbookViewId="0">
      <pane ySplit="1" topLeftCell="A2" activePane="bottomLeft" state="frozen"/>
      <selection pane="bottomLeft" activeCell="F22" sqref="F22"/>
    </sheetView>
  </sheetViews>
  <sheetFormatPr defaultRowHeight="15" x14ac:dyDescent="0.25"/>
  <cols>
    <col min="1" max="1" width="4.7109375" style="4" bestFit="1" customWidth="1"/>
    <col min="2" max="2" width="38.5703125" style="4" bestFit="1" customWidth="1"/>
    <col min="3" max="3" width="20.42578125" style="4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24" t="s">
        <v>0</v>
      </c>
      <c r="B1" s="24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46048</v>
      </c>
      <c r="B2" s="88"/>
      <c r="C2" s="88"/>
      <c r="D2" s="88"/>
      <c r="E2" s="88"/>
    </row>
    <row r="3" spans="1:5" x14ac:dyDescent="0.25">
      <c r="A3" s="4">
        <v>1</v>
      </c>
      <c r="B3" s="4" t="s">
        <v>38</v>
      </c>
      <c r="C3" s="6">
        <v>2500000</v>
      </c>
      <c r="D3" s="6">
        <v>2800000</v>
      </c>
      <c r="E3" s="6">
        <f t="shared" ref="E3:E23" si="0">D3-C3</f>
        <v>300000</v>
      </c>
    </row>
    <row r="4" spans="1:5" x14ac:dyDescent="0.25">
      <c r="A4" s="27">
        <v>2</v>
      </c>
      <c r="B4" s="4" t="s">
        <v>38</v>
      </c>
      <c r="C4" s="25">
        <v>2700000</v>
      </c>
      <c r="D4" s="25">
        <v>2752150</v>
      </c>
      <c r="E4" s="6">
        <f t="shared" si="0"/>
        <v>52150</v>
      </c>
    </row>
    <row r="5" spans="1:5" x14ac:dyDescent="0.25">
      <c r="A5" s="4">
        <v>3</v>
      </c>
      <c r="B5" s="4" t="s">
        <v>38</v>
      </c>
      <c r="C5" s="25">
        <v>2700000</v>
      </c>
      <c r="D5" s="25">
        <v>2755000</v>
      </c>
      <c r="E5" s="6">
        <f t="shared" si="0"/>
        <v>55000</v>
      </c>
    </row>
    <row r="6" spans="1:5" x14ac:dyDescent="0.25">
      <c r="A6" s="27">
        <v>4</v>
      </c>
      <c r="B6" s="4" t="s">
        <v>38</v>
      </c>
      <c r="C6" s="25">
        <v>2700000</v>
      </c>
      <c r="D6" s="25">
        <v>2755000</v>
      </c>
      <c r="E6" s="6">
        <f t="shared" si="0"/>
        <v>55000</v>
      </c>
    </row>
    <row r="7" spans="1:5" x14ac:dyDescent="0.25">
      <c r="A7" s="4">
        <v>5</v>
      </c>
      <c r="B7" s="4" t="s">
        <v>38</v>
      </c>
      <c r="C7" s="25">
        <v>2700000</v>
      </c>
      <c r="D7" s="25">
        <v>2755000</v>
      </c>
      <c r="E7" s="6">
        <f t="shared" si="0"/>
        <v>55000</v>
      </c>
    </row>
    <row r="8" spans="1:5" x14ac:dyDescent="0.25">
      <c r="A8" s="27">
        <v>6</v>
      </c>
      <c r="B8" s="4" t="s">
        <v>38</v>
      </c>
      <c r="C8" s="25">
        <v>2700000</v>
      </c>
      <c r="D8" s="25">
        <v>2755000</v>
      </c>
      <c r="E8" s="6">
        <f t="shared" si="0"/>
        <v>55000</v>
      </c>
    </row>
    <row r="9" spans="1:5" x14ac:dyDescent="0.25">
      <c r="A9" s="4">
        <v>7</v>
      </c>
      <c r="B9" s="4" t="s">
        <v>38</v>
      </c>
      <c r="C9" s="25">
        <v>2700000</v>
      </c>
      <c r="D9" s="25">
        <v>2755000</v>
      </c>
      <c r="E9" s="6">
        <f t="shared" si="0"/>
        <v>55000</v>
      </c>
    </row>
    <row r="10" spans="1:5" x14ac:dyDescent="0.25">
      <c r="A10" s="27">
        <v>8</v>
      </c>
      <c r="B10" s="4" t="s">
        <v>38</v>
      </c>
      <c r="C10" s="25">
        <v>2700000</v>
      </c>
      <c r="D10" s="25">
        <v>2755000</v>
      </c>
      <c r="E10" s="6">
        <f t="shared" si="0"/>
        <v>55000</v>
      </c>
    </row>
    <row r="11" spans="1:5" x14ac:dyDescent="0.25">
      <c r="A11" s="4">
        <v>9</v>
      </c>
      <c r="B11" s="4" t="s">
        <v>38</v>
      </c>
      <c r="C11" s="25">
        <v>2700000</v>
      </c>
      <c r="D11" s="25">
        <v>2755000</v>
      </c>
      <c r="E11" s="6">
        <f t="shared" si="0"/>
        <v>55000</v>
      </c>
    </row>
    <row r="12" spans="1:5" x14ac:dyDescent="0.25">
      <c r="A12" s="27">
        <v>10</v>
      </c>
      <c r="B12" s="4" t="s">
        <v>38</v>
      </c>
      <c r="C12" s="25">
        <v>2700000</v>
      </c>
      <c r="D12" s="25">
        <v>2755000</v>
      </c>
      <c r="E12" s="6">
        <f t="shared" si="0"/>
        <v>55000</v>
      </c>
    </row>
    <row r="13" spans="1:5" x14ac:dyDescent="0.25">
      <c r="A13" s="4">
        <v>11</v>
      </c>
      <c r="B13" s="4" t="s">
        <v>38</v>
      </c>
      <c r="C13" s="25">
        <v>2700000</v>
      </c>
      <c r="D13" s="25">
        <v>2755000</v>
      </c>
      <c r="E13" s="6">
        <f t="shared" si="0"/>
        <v>55000</v>
      </c>
    </row>
    <row r="14" spans="1:5" x14ac:dyDescent="0.25">
      <c r="A14" s="27">
        <v>12</v>
      </c>
      <c r="B14" s="4" t="s">
        <v>38</v>
      </c>
      <c r="C14" s="25">
        <v>2700000</v>
      </c>
      <c r="D14" s="25">
        <v>2755000</v>
      </c>
      <c r="E14" s="6">
        <f t="shared" si="0"/>
        <v>55000</v>
      </c>
    </row>
    <row r="15" spans="1:5" x14ac:dyDescent="0.25">
      <c r="A15" s="4">
        <v>13</v>
      </c>
      <c r="B15" s="4" t="s">
        <v>38</v>
      </c>
      <c r="C15" s="25">
        <v>2700000</v>
      </c>
      <c r="D15" s="25">
        <v>2755000</v>
      </c>
      <c r="E15" s="6">
        <f t="shared" si="0"/>
        <v>55000</v>
      </c>
    </row>
    <row r="16" spans="1:5" x14ac:dyDescent="0.25">
      <c r="A16" s="27">
        <v>14</v>
      </c>
      <c r="B16" s="4" t="s">
        <v>38</v>
      </c>
      <c r="C16" s="25">
        <v>2700000</v>
      </c>
      <c r="D16" s="25">
        <v>2849999</v>
      </c>
      <c r="E16" s="6">
        <f t="shared" si="0"/>
        <v>149999</v>
      </c>
    </row>
    <row r="17" spans="1:5" x14ac:dyDescent="0.25">
      <c r="A17" s="4">
        <v>15</v>
      </c>
      <c r="B17" s="4" t="s">
        <v>38</v>
      </c>
      <c r="C17" s="25">
        <v>2700000</v>
      </c>
      <c r="D17" s="25">
        <v>2849999</v>
      </c>
      <c r="E17" s="6">
        <f t="shared" si="0"/>
        <v>149999</v>
      </c>
    </row>
    <row r="18" spans="1:5" x14ac:dyDescent="0.25">
      <c r="A18" s="27">
        <v>16</v>
      </c>
      <c r="B18" s="4" t="s">
        <v>38</v>
      </c>
      <c r="C18" s="25">
        <v>2700000</v>
      </c>
      <c r="D18" s="25">
        <v>2755000</v>
      </c>
      <c r="E18" s="6">
        <f t="shared" si="0"/>
        <v>55000</v>
      </c>
    </row>
    <row r="19" spans="1:5" x14ac:dyDescent="0.25">
      <c r="A19" s="18">
        <v>17</v>
      </c>
      <c r="B19" s="4" t="s">
        <v>43</v>
      </c>
      <c r="C19" s="25">
        <v>1070000</v>
      </c>
      <c r="D19" s="25">
        <v>1235000</v>
      </c>
      <c r="E19" s="25">
        <f t="shared" si="0"/>
        <v>165000</v>
      </c>
    </row>
    <row r="20" spans="1:5" x14ac:dyDescent="0.25">
      <c r="A20" s="27">
        <v>18</v>
      </c>
      <c r="B20" s="27" t="s">
        <v>43</v>
      </c>
      <c r="C20" s="25">
        <v>1099999</v>
      </c>
      <c r="D20" s="25">
        <v>1235000</v>
      </c>
      <c r="E20" s="25">
        <f t="shared" si="0"/>
        <v>135001</v>
      </c>
    </row>
    <row r="21" spans="1:5" x14ac:dyDescent="0.25">
      <c r="A21" s="18">
        <v>19</v>
      </c>
      <c r="B21" s="27" t="s">
        <v>33</v>
      </c>
      <c r="C21" s="25">
        <v>1900000</v>
      </c>
      <c r="D21" s="25">
        <v>2089050</v>
      </c>
      <c r="E21" s="25">
        <f t="shared" si="0"/>
        <v>189050</v>
      </c>
    </row>
    <row r="22" spans="1:5" x14ac:dyDescent="0.25">
      <c r="A22" s="27">
        <v>20</v>
      </c>
      <c r="B22" s="27" t="s">
        <v>33</v>
      </c>
      <c r="C22" s="25">
        <v>1900000</v>
      </c>
      <c r="D22" s="25">
        <v>2089050</v>
      </c>
      <c r="E22" s="25">
        <f t="shared" si="0"/>
        <v>189050</v>
      </c>
    </row>
    <row r="23" spans="1:5" x14ac:dyDescent="0.25">
      <c r="A23" s="18">
        <v>21</v>
      </c>
      <c r="B23" s="27" t="s">
        <v>33</v>
      </c>
      <c r="C23" s="25">
        <v>1950000</v>
      </c>
      <c r="D23" s="25">
        <v>2090000</v>
      </c>
      <c r="E23" s="25">
        <f t="shared" si="0"/>
        <v>140000</v>
      </c>
    </row>
    <row r="24" spans="1:5" x14ac:dyDescent="0.25">
      <c r="A24" s="89" t="s">
        <v>8</v>
      </c>
      <c r="B24" s="89"/>
      <c r="C24" s="89"/>
      <c r="D24" s="89"/>
      <c r="E24" s="8">
        <v>0</v>
      </c>
    </row>
    <row r="25" spans="1:5" x14ac:dyDescent="0.25">
      <c r="A25" s="89" t="s">
        <v>9</v>
      </c>
      <c r="B25" s="89"/>
      <c r="C25" s="89"/>
      <c r="D25" s="89"/>
      <c r="E25" s="8">
        <f>SUM(E3:E23)-E24</f>
        <v>2130249</v>
      </c>
    </row>
    <row r="26" spans="1:5" x14ac:dyDescent="0.25">
      <c r="A26" s="27"/>
      <c r="B26" s="27"/>
      <c r="C26" s="25"/>
      <c r="D26" s="25"/>
      <c r="E26" s="25"/>
    </row>
    <row r="27" spans="1:5" x14ac:dyDescent="0.25">
      <c r="A27" s="27"/>
      <c r="B27" s="27"/>
      <c r="C27" s="25"/>
      <c r="D27" s="25"/>
      <c r="E27" s="25"/>
    </row>
    <row r="28" spans="1:5" x14ac:dyDescent="0.25">
      <c r="A28" s="27"/>
      <c r="B28" s="27"/>
      <c r="C28" s="25"/>
      <c r="D28" s="25"/>
      <c r="E28" s="25"/>
    </row>
    <row r="29" spans="1:5" x14ac:dyDescent="0.25">
      <c r="A29" s="27"/>
      <c r="B29" s="27"/>
      <c r="C29" s="25"/>
      <c r="D29" s="25"/>
      <c r="E29" s="25"/>
    </row>
    <row r="30" spans="1:5" x14ac:dyDescent="0.25">
      <c r="A30" s="27"/>
      <c r="B30" s="27"/>
      <c r="C30" s="25"/>
      <c r="D30" s="25"/>
      <c r="E30" s="25"/>
    </row>
    <row r="31" spans="1:5" x14ac:dyDescent="0.25">
      <c r="A31" s="27"/>
      <c r="B31" s="27"/>
      <c r="C31" s="25"/>
      <c r="D31" s="25"/>
      <c r="E31" s="25"/>
    </row>
    <row r="32" spans="1:5" x14ac:dyDescent="0.25">
      <c r="A32" s="27"/>
      <c r="B32" s="27"/>
      <c r="C32" s="25"/>
      <c r="D32" s="25"/>
      <c r="E32" s="25"/>
    </row>
    <row r="33" spans="1:5" x14ac:dyDescent="0.25">
      <c r="A33" s="27"/>
      <c r="B33" s="27"/>
      <c r="C33" s="25"/>
      <c r="D33" s="25"/>
      <c r="E33" s="25"/>
    </row>
    <row r="34" spans="1:5" x14ac:dyDescent="0.25">
      <c r="A34" s="27"/>
      <c r="B34" s="26"/>
      <c r="C34" s="26"/>
      <c r="D34" s="26"/>
      <c r="E34" s="25"/>
    </row>
    <row r="35" spans="1:5" x14ac:dyDescent="0.25">
      <c r="A35" s="29"/>
      <c r="B35" s="29"/>
      <c r="C35" s="29"/>
      <c r="D35" s="29"/>
      <c r="E35" s="8"/>
    </row>
    <row r="36" spans="1:5" x14ac:dyDescent="0.25">
      <c r="A36" s="29"/>
      <c r="B36" s="29"/>
      <c r="C36" s="29"/>
      <c r="D36" s="29"/>
      <c r="E36" s="8"/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21"/>
      <c r="D45" s="9"/>
      <c r="E45" s="25"/>
    </row>
    <row r="46" spans="1:5" x14ac:dyDescent="0.25">
      <c r="A46" s="27"/>
      <c r="C46" s="21"/>
      <c r="D46" s="6"/>
      <c r="E46" s="25"/>
    </row>
    <row r="47" spans="1:5" x14ac:dyDescent="0.25">
      <c r="A47" s="27"/>
      <c r="C47" s="6"/>
      <c r="D47" s="6"/>
      <c r="E47" s="25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24:D24"/>
    <mergeCell ref="A25:D25"/>
  </mergeCells>
  <conditionalFormatting sqref="E1">
    <cfRule type="cellIs" dxfId="49" priority="5" operator="lessThan">
      <formula>0</formula>
    </cfRule>
  </conditionalFormatting>
  <conditionalFormatting sqref="E3:E117">
    <cfRule type="cellIs" dxfId="48" priority="1" operator="lessThan">
      <formula>0</formula>
    </cfRule>
  </conditionalFormatting>
  <conditionalFormatting sqref="E119:E163">
    <cfRule type="cellIs" dxfId="47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081F2-D8D4-4D34-BE5D-8A05AEB81DD2}">
  <dimension ref="A1:E163"/>
  <sheetViews>
    <sheetView zoomScale="145" zoomScaleNormal="145" workbookViewId="0">
      <pane ySplit="1" topLeftCell="A23" activePane="bottomLeft" state="frozen"/>
      <selection pane="bottomLeft" activeCell="C8" sqref="C8"/>
    </sheetView>
  </sheetViews>
  <sheetFormatPr defaultRowHeight="15" x14ac:dyDescent="0.25"/>
  <cols>
    <col min="1" max="1" width="4.7109375" style="4" bestFit="1" customWidth="1"/>
    <col min="2" max="2" width="38.5703125" style="4" bestFit="1" customWidth="1"/>
    <col min="3" max="3" width="20.42578125" style="4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20" t="s">
        <v>0</v>
      </c>
      <c r="B1" s="20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46047</v>
      </c>
      <c r="B2" s="88"/>
      <c r="C2" s="88"/>
      <c r="D2" s="88"/>
      <c r="E2" s="88"/>
    </row>
    <row r="3" spans="1:5" x14ac:dyDescent="0.25">
      <c r="A3" s="4">
        <v>1</v>
      </c>
      <c r="B3" s="4" t="s">
        <v>80</v>
      </c>
      <c r="C3" s="6">
        <v>5100000</v>
      </c>
      <c r="D3" s="6">
        <v>6790225</v>
      </c>
      <c r="E3" s="6">
        <f t="shared" ref="E3:E34" si="0">D3-C3</f>
        <v>1690225</v>
      </c>
    </row>
    <row r="4" spans="1:5" x14ac:dyDescent="0.25">
      <c r="A4" s="27">
        <v>2</v>
      </c>
      <c r="B4" s="27" t="s">
        <v>13</v>
      </c>
      <c r="C4" s="25">
        <v>3550000</v>
      </c>
      <c r="D4" s="25">
        <v>3747750</v>
      </c>
      <c r="E4" s="6">
        <f t="shared" si="0"/>
        <v>197750</v>
      </c>
    </row>
    <row r="5" spans="1:5" x14ac:dyDescent="0.25">
      <c r="A5" s="27">
        <v>3</v>
      </c>
      <c r="B5" s="27" t="s">
        <v>27</v>
      </c>
      <c r="C5" s="25">
        <v>3500000</v>
      </c>
      <c r="D5" s="25">
        <v>3562500</v>
      </c>
      <c r="E5" s="6">
        <f t="shared" si="0"/>
        <v>62500</v>
      </c>
    </row>
    <row r="6" spans="1:5" x14ac:dyDescent="0.25">
      <c r="A6" s="27">
        <v>4</v>
      </c>
      <c r="B6" s="27" t="s">
        <v>27</v>
      </c>
      <c r="C6" s="25">
        <v>3500000</v>
      </c>
      <c r="D6" s="25">
        <v>3562500</v>
      </c>
      <c r="E6" s="6">
        <f t="shared" si="0"/>
        <v>62500</v>
      </c>
    </row>
    <row r="7" spans="1:5" x14ac:dyDescent="0.25">
      <c r="A7" s="27">
        <v>5</v>
      </c>
      <c r="B7" s="27" t="s">
        <v>13</v>
      </c>
      <c r="C7" s="25">
        <v>3550000</v>
      </c>
      <c r="D7" s="25">
        <v>3747750</v>
      </c>
      <c r="E7" s="6">
        <f t="shared" si="0"/>
        <v>197750</v>
      </c>
    </row>
    <row r="8" spans="1:5" x14ac:dyDescent="0.25">
      <c r="A8" s="27">
        <v>6</v>
      </c>
      <c r="B8" s="27" t="s">
        <v>34</v>
      </c>
      <c r="C8" s="25">
        <v>4500000</v>
      </c>
      <c r="D8" s="25">
        <v>4745250</v>
      </c>
      <c r="E8" s="6">
        <f t="shared" si="0"/>
        <v>245250</v>
      </c>
    </row>
    <row r="9" spans="1:5" x14ac:dyDescent="0.25">
      <c r="A9" s="27">
        <v>7</v>
      </c>
      <c r="B9" s="27" t="s">
        <v>13</v>
      </c>
      <c r="C9" s="25">
        <v>3600000</v>
      </c>
      <c r="D9" s="25">
        <v>3705000</v>
      </c>
      <c r="E9" s="25">
        <f t="shared" si="0"/>
        <v>105000</v>
      </c>
    </row>
    <row r="10" spans="1:5" x14ac:dyDescent="0.25">
      <c r="A10" s="27">
        <v>8</v>
      </c>
      <c r="B10" s="27" t="s">
        <v>13</v>
      </c>
      <c r="C10" s="25">
        <v>3600000</v>
      </c>
      <c r="D10" s="25">
        <v>3705000</v>
      </c>
      <c r="E10" s="25">
        <f t="shared" si="0"/>
        <v>105000</v>
      </c>
    </row>
    <row r="11" spans="1:5" x14ac:dyDescent="0.25">
      <c r="A11" s="27">
        <v>9</v>
      </c>
      <c r="B11" s="27" t="s">
        <v>13</v>
      </c>
      <c r="C11" s="25">
        <v>3500000</v>
      </c>
      <c r="D11" s="25">
        <v>3747750</v>
      </c>
      <c r="E11" s="25">
        <f t="shared" si="0"/>
        <v>247750</v>
      </c>
    </row>
    <row r="12" spans="1:5" x14ac:dyDescent="0.25">
      <c r="A12" s="27">
        <v>10</v>
      </c>
      <c r="B12" s="27" t="s">
        <v>13</v>
      </c>
      <c r="C12" s="25">
        <v>3500000</v>
      </c>
      <c r="D12" s="25">
        <v>3705000</v>
      </c>
      <c r="E12" s="25">
        <f t="shared" si="0"/>
        <v>205000</v>
      </c>
    </row>
    <row r="13" spans="1:5" x14ac:dyDescent="0.25">
      <c r="A13" s="27">
        <v>11</v>
      </c>
      <c r="B13" s="27" t="s">
        <v>23</v>
      </c>
      <c r="C13" s="25">
        <v>1750000</v>
      </c>
      <c r="D13" s="25">
        <v>1899999</v>
      </c>
      <c r="E13" s="25">
        <f t="shared" si="0"/>
        <v>149999</v>
      </c>
    </row>
    <row r="14" spans="1:5" x14ac:dyDescent="0.25">
      <c r="A14" s="27">
        <v>12</v>
      </c>
      <c r="B14" s="27" t="s">
        <v>43</v>
      </c>
      <c r="C14" s="25">
        <v>1000000</v>
      </c>
      <c r="D14" s="25">
        <v>1311000</v>
      </c>
      <c r="E14" s="25">
        <f t="shared" si="0"/>
        <v>311000</v>
      </c>
    </row>
    <row r="15" spans="1:5" x14ac:dyDescent="0.25">
      <c r="A15" s="27">
        <v>13</v>
      </c>
      <c r="B15" s="27" t="s">
        <v>43</v>
      </c>
      <c r="C15" s="25">
        <v>1200000</v>
      </c>
      <c r="D15" s="25">
        <v>1296992</v>
      </c>
      <c r="E15" s="25">
        <f t="shared" si="0"/>
        <v>96992</v>
      </c>
    </row>
    <row r="16" spans="1:5" x14ac:dyDescent="0.25">
      <c r="A16" s="27">
        <v>14</v>
      </c>
      <c r="B16" s="27" t="s">
        <v>66</v>
      </c>
      <c r="C16" s="25">
        <v>1024500</v>
      </c>
      <c r="D16" s="25">
        <v>1187500</v>
      </c>
      <c r="E16" s="25">
        <f t="shared" si="0"/>
        <v>163000</v>
      </c>
    </row>
    <row r="17" spans="1:5" x14ac:dyDescent="0.25">
      <c r="A17" s="27">
        <v>15</v>
      </c>
      <c r="B17" s="27" t="s">
        <v>87</v>
      </c>
      <c r="C17" s="25">
        <v>5500000</v>
      </c>
      <c r="D17" s="25">
        <v>5890000</v>
      </c>
      <c r="E17" s="25">
        <f t="shared" si="0"/>
        <v>390000</v>
      </c>
    </row>
    <row r="18" spans="1:5" x14ac:dyDescent="0.25">
      <c r="A18" s="27">
        <v>16</v>
      </c>
      <c r="B18" s="27" t="s">
        <v>28</v>
      </c>
      <c r="C18" s="25">
        <v>900000</v>
      </c>
      <c r="D18" s="25">
        <v>1034339</v>
      </c>
      <c r="E18" s="25">
        <f t="shared" si="0"/>
        <v>134339</v>
      </c>
    </row>
    <row r="19" spans="1:5" x14ac:dyDescent="0.25">
      <c r="A19" s="27">
        <v>17</v>
      </c>
      <c r="B19" s="27" t="s">
        <v>28</v>
      </c>
      <c r="C19" s="25">
        <v>860000</v>
      </c>
      <c r="D19" s="25">
        <v>1034443</v>
      </c>
      <c r="E19" s="25">
        <f t="shared" si="0"/>
        <v>174443</v>
      </c>
    </row>
    <row r="20" spans="1:5" x14ac:dyDescent="0.25">
      <c r="A20" s="27">
        <v>18</v>
      </c>
      <c r="B20" s="27" t="s">
        <v>33</v>
      </c>
      <c r="C20" s="25">
        <v>1900000</v>
      </c>
      <c r="D20" s="25">
        <v>2078388</v>
      </c>
      <c r="E20" s="25">
        <f t="shared" si="0"/>
        <v>178388</v>
      </c>
    </row>
    <row r="21" spans="1:5" x14ac:dyDescent="0.25">
      <c r="A21" s="27">
        <v>19</v>
      </c>
      <c r="B21" s="27" t="s">
        <v>16</v>
      </c>
      <c r="C21" s="25">
        <v>1250000</v>
      </c>
      <c r="D21" s="25">
        <v>1329998</v>
      </c>
      <c r="E21" s="25">
        <f t="shared" si="0"/>
        <v>79998</v>
      </c>
    </row>
    <row r="22" spans="1:5" x14ac:dyDescent="0.25">
      <c r="A22" s="27">
        <v>20</v>
      </c>
      <c r="B22" s="27" t="s">
        <v>33</v>
      </c>
      <c r="C22" s="25">
        <v>1900000</v>
      </c>
      <c r="D22" s="25">
        <v>2078388</v>
      </c>
      <c r="E22" s="25">
        <f t="shared" si="0"/>
        <v>178388</v>
      </c>
    </row>
    <row r="23" spans="1:5" x14ac:dyDescent="0.25">
      <c r="A23" s="27">
        <v>21</v>
      </c>
      <c r="B23" s="27" t="s">
        <v>33</v>
      </c>
      <c r="C23" s="25">
        <v>2000000</v>
      </c>
      <c r="D23" s="25">
        <v>2080500</v>
      </c>
      <c r="E23" s="25">
        <f t="shared" si="0"/>
        <v>80500</v>
      </c>
    </row>
    <row r="24" spans="1:5" x14ac:dyDescent="0.25">
      <c r="A24" s="27">
        <v>22</v>
      </c>
      <c r="B24" s="27" t="s">
        <v>26</v>
      </c>
      <c r="C24" s="25">
        <v>2300000</v>
      </c>
      <c r="D24" s="26">
        <v>2365500</v>
      </c>
      <c r="E24" s="25">
        <f t="shared" si="0"/>
        <v>65500</v>
      </c>
    </row>
    <row r="25" spans="1:5" x14ac:dyDescent="0.25">
      <c r="A25" s="27">
        <v>23</v>
      </c>
      <c r="B25" s="28" t="s">
        <v>51</v>
      </c>
      <c r="C25" s="25">
        <v>2000000</v>
      </c>
      <c r="D25" s="25">
        <v>2090000</v>
      </c>
      <c r="E25" s="25">
        <f t="shared" si="0"/>
        <v>90000</v>
      </c>
    </row>
    <row r="26" spans="1:5" x14ac:dyDescent="0.25">
      <c r="A26" s="27">
        <v>24</v>
      </c>
      <c r="B26" s="27" t="s">
        <v>88</v>
      </c>
      <c r="C26" s="25">
        <v>1100000</v>
      </c>
      <c r="D26" s="25">
        <v>1202700</v>
      </c>
      <c r="E26" s="25">
        <f t="shared" si="0"/>
        <v>102700</v>
      </c>
    </row>
    <row r="27" spans="1:5" x14ac:dyDescent="0.25">
      <c r="A27" s="27">
        <v>25</v>
      </c>
      <c r="B27" s="27" t="s">
        <v>23</v>
      </c>
      <c r="C27" s="25">
        <v>1900000</v>
      </c>
      <c r="D27" s="25">
        <v>2090000</v>
      </c>
      <c r="E27" s="25">
        <f t="shared" si="0"/>
        <v>190000</v>
      </c>
    </row>
    <row r="28" spans="1:5" x14ac:dyDescent="0.25">
      <c r="A28" s="27">
        <v>26</v>
      </c>
      <c r="B28" s="27" t="s">
        <v>13</v>
      </c>
      <c r="C28" s="25">
        <v>3549999</v>
      </c>
      <c r="D28" s="25">
        <v>3704999</v>
      </c>
      <c r="E28" s="25">
        <f t="shared" si="0"/>
        <v>155000</v>
      </c>
    </row>
    <row r="29" spans="1:5" x14ac:dyDescent="0.25">
      <c r="A29" s="27">
        <v>27</v>
      </c>
      <c r="B29" s="27" t="s">
        <v>28</v>
      </c>
      <c r="C29" s="25">
        <v>850000</v>
      </c>
      <c r="D29" s="25">
        <v>1034443</v>
      </c>
      <c r="E29" s="25">
        <f t="shared" si="0"/>
        <v>184443</v>
      </c>
    </row>
    <row r="30" spans="1:5" x14ac:dyDescent="0.25">
      <c r="A30" s="27">
        <v>28</v>
      </c>
      <c r="B30" s="27" t="s">
        <v>51</v>
      </c>
      <c r="C30" s="25">
        <v>1999999</v>
      </c>
      <c r="D30" s="25">
        <v>2090000</v>
      </c>
      <c r="E30" s="25">
        <f t="shared" si="0"/>
        <v>90001</v>
      </c>
    </row>
    <row r="31" spans="1:5" x14ac:dyDescent="0.25">
      <c r="A31" s="27">
        <v>29</v>
      </c>
      <c r="B31" s="27" t="s">
        <v>13</v>
      </c>
      <c r="C31" s="25">
        <v>3500000</v>
      </c>
      <c r="D31" s="25">
        <v>3695500</v>
      </c>
      <c r="E31" s="25">
        <f t="shared" si="0"/>
        <v>195500</v>
      </c>
    </row>
    <row r="32" spans="1:5" x14ac:dyDescent="0.25">
      <c r="A32" s="27">
        <v>30</v>
      </c>
      <c r="B32" s="27" t="s">
        <v>61</v>
      </c>
      <c r="C32" s="25">
        <v>531999</v>
      </c>
      <c r="D32" s="25">
        <v>643150</v>
      </c>
      <c r="E32" s="25">
        <f t="shared" si="0"/>
        <v>111151</v>
      </c>
    </row>
    <row r="33" spans="1:5" x14ac:dyDescent="0.25">
      <c r="A33" s="27">
        <v>31</v>
      </c>
      <c r="B33" s="27" t="s">
        <v>16</v>
      </c>
      <c r="C33" s="25">
        <v>1200000</v>
      </c>
      <c r="D33" s="25">
        <v>1420250</v>
      </c>
      <c r="E33" s="25">
        <f t="shared" si="0"/>
        <v>220250</v>
      </c>
    </row>
    <row r="34" spans="1:5" x14ac:dyDescent="0.25">
      <c r="A34" s="27">
        <v>32</v>
      </c>
      <c r="B34" s="26" t="s">
        <v>16</v>
      </c>
      <c r="C34" s="26">
        <v>1222222</v>
      </c>
      <c r="D34" s="26">
        <v>1377500</v>
      </c>
      <c r="E34" s="25">
        <f t="shared" si="0"/>
        <v>155278</v>
      </c>
    </row>
    <row r="35" spans="1:5" x14ac:dyDescent="0.25">
      <c r="A35" s="89" t="s">
        <v>8</v>
      </c>
      <c r="B35" s="89"/>
      <c r="C35" s="89"/>
      <c r="D35" s="89"/>
      <c r="E35" s="8">
        <v>0</v>
      </c>
    </row>
    <row r="36" spans="1:5" x14ac:dyDescent="0.25">
      <c r="A36" s="89" t="s">
        <v>9</v>
      </c>
      <c r="B36" s="89"/>
      <c r="C36" s="89"/>
      <c r="D36" s="89"/>
      <c r="E36" s="8">
        <f>SUM(E3:E34)-E35</f>
        <v>6615595</v>
      </c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21"/>
      <c r="D45" s="9"/>
      <c r="E45" s="25"/>
    </row>
    <row r="46" spans="1:5" x14ac:dyDescent="0.25">
      <c r="A46" s="27"/>
      <c r="C46" s="21"/>
      <c r="D46" s="6"/>
      <c r="E46" s="25"/>
    </row>
    <row r="47" spans="1:5" x14ac:dyDescent="0.25">
      <c r="A47" s="27"/>
      <c r="C47" s="6"/>
      <c r="D47" s="6"/>
      <c r="E47" s="25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35:D35"/>
    <mergeCell ref="A36:D36"/>
  </mergeCells>
  <conditionalFormatting sqref="E1">
    <cfRule type="cellIs" dxfId="46" priority="7" operator="lessThan">
      <formula>0</formula>
    </cfRule>
  </conditionalFormatting>
  <conditionalFormatting sqref="E3:E117">
    <cfRule type="cellIs" dxfId="45" priority="1" operator="lessThan">
      <formula>0</formula>
    </cfRule>
  </conditionalFormatting>
  <conditionalFormatting sqref="E119:E163">
    <cfRule type="cellIs" dxfId="44" priority="6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E2B59-0755-4F46-81A2-C25E9B487912}">
  <dimension ref="A1:E163"/>
  <sheetViews>
    <sheetView zoomScale="145" zoomScaleNormal="145" workbookViewId="0">
      <pane ySplit="1" topLeftCell="A35" activePane="bottomLeft" state="frozen"/>
      <selection pane="bottomLeft" activeCell="G23" sqref="G23"/>
    </sheetView>
  </sheetViews>
  <sheetFormatPr defaultRowHeight="15" x14ac:dyDescent="0.25"/>
  <cols>
    <col min="1" max="1" width="4.7109375" style="4" bestFit="1" customWidth="1"/>
    <col min="2" max="2" width="38.5703125" style="4" bestFit="1" customWidth="1"/>
    <col min="3" max="3" width="20.42578125" style="4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20" t="s">
        <v>0</v>
      </c>
      <c r="B1" s="20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46046</v>
      </c>
      <c r="B2" s="88"/>
      <c r="C2" s="88"/>
      <c r="D2" s="88"/>
      <c r="E2" s="88"/>
    </row>
    <row r="3" spans="1:5" x14ac:dyDescent="0.25">
      <c r="A3" s="4">
        <v>1</v>
      </c>
      <c r="B3" s="4" t="s">
        <v>26</v>
      </c>
      <c r="C3" s="6">
        <v>2000000</v>
      </c>
      <c r="D3" s="6">
        <v>2087150</v>
      </c>
      <c r="E3" s="6">
        <f t="shared" ref="E3:E33" si="0">D3-C3</f>
        <v>87150</v>
      </c>
    </row>
    <row r="4" spans="1:5" x14ac:dyDescent="0.25">
      <c r="A4" s="27">
        <v>2</v>
      </c>
      <c r="B4" s="27" t="s">
        <v>31</v>
      </c>
      <c r="C4" s="25">
        <v>1259000</v>
      </c>
      <c r="D4" s="25">
        <v>1413410</v>
      </c>
      <c r="E4" s="6">
        <f t="shared" si="0"/>
        <v>154410</v>
      </c>
    </row>
    <row r="5" spans="1:5" x14ac:dyDescent="0.25">
      <c r="A5" s="27">
        <v>3</v>
      </c>
      <c r="B5" s="27" t="s">
        <v>31</v>
      </c>
      <c r="C5" s="25">
        <v>1300000</v>
      </c>
      <c r="D5" s="25">
        <v>1412365</v>
      </c>
      <c r="E5" s="6">
        <f t="shared" si="0"/>
        <v>112365</v>
      </c>
    </row>
    <row r="6" spans="1:5" x14ac:dyDescent="0.25">
      <c r="A6" s="27">
        <v>4</v>
      </c>
      <c r="B6" s="27" t="s">
        <v>66</v>
      </c>
      <c r="C6" s="25">
        <v>1150000</v>
      </c>
      <c r="D6" s="25">
        <v>1235000</v>
      </c>
      <c r="E6" s="6">
        <f t="shared" si="0"/>
        <v>85000</v>
      </c>
    </row>
    <row r="7" spans="1:5" x14ac:dyDescent="0.25">
      <c r="A7" s="27">
        <v>5</v>
      </c>
      <c r="B7" s="27" t="s">
        <v>13</v>
      </c>
      <c r="C7" s="25">
        <v>3600000</v>
      </c>
      <c r="D7" s="25">
        <v>3705000</v>
      </c>
      <c r="E7" s="6">
        <f t="shared" si="0"/>
        <v>105000</v>
      </c>
    </row>
    <row r="8" spans="1:5" x14ac:dyDescent="0.25">
      <c r="A8" s="27">
        <v>6</v>
      </c>
      <c r="B8" s="27" t="s">
        <v>23</v>
      </c>
      <c r="C8" s="25">
        <v>1777111</v>
      </c>
      <c r="D8" s="25">
        <v>1899999</v>
      </c>
      <c r="E8" s="6">
        <f t="shared" si="0"/>
        <v>122888</v>
      </c>
    </row>
    <row r="9" spans="1:5" x14ac:dyDescent="0.25">
      <c r="A9" s="27">
        <v>7</v>
      </c>
      <c r="B9" s="27" t="s">
        <v>34</v>
      </c>
      <c r="C9" s="25">
        <v>4300000</v>
      </c>
      <c r="D9" s="25">
        <v>4498250</v>
      </c>
      <c r="E9" s="25">
        <f t="shared" si="0"/>
        <v>198250</v>
      </c>
    </row>
    <row r="10" spans="1:5" x14ac:dyDescent="0.25">
      <c r="A10" s="27">
        <v>8</v>
      </c>
      <c r="B10" s="27" t="s">
        <v>16</v>
      </c>
      <c r="C10" s="25">
        <v>1222222</v>
      </c>
      <c r="D10" s="25">
        <v>1425000</v>
      </c>
      <c r="E10" s="25">
        <f t="shared" si="0"/>
        <v>202778</v>
      </c>
    </row>
    <row r="11" spans="1:5" x14ac:dyDescent="0.25">
      <c r="A11" s="27">
        <v>9</v>
      </c>
      <c r="B11" s="27" t="s">
        <v>23</v>
      </c>
      <c r="C11" s="25">
        <v>1777777</v>
      </c>
      <c r="D11" s="25">
        <v>1899999</v>
      </c>
      <c r="E11" s="25">
        <f t="shared" si="0"/>
        <v>122222</v>
      </c>
    </row>
    <row r="12" spans="1:5" x14ac:dyDescent="0.25">
      <c r="A12" s="27">
        <v>10</v>
      </c>
      <c r="B12" s="27" t="s">
        <v>27</v>
      </c>
      <c r="C12" s="25">
        <v>3444444</v>
      </c>
      <c r="D12" s="25">
        <v>3753450</v>
      </c>
      <c r="E12" s="25">
        <f t="shared" si="0"/>
        <v>309006</v>
      </c>
    </row>
    <row r="13" spans="1:5" x14ac:dyDescent="0.25">
      <c r="A13" s="27">
        <v>11</v>
      </c>
      <c r="B13" s="27" t="s">
        <v>33</v>
      </c>
      <c r="C13" s="25">
        <v>1700000</v>
      </c>
      <c r="D13" s="25">
        <v>1947500</v>
      </c>
      <c r="E13" s="25">
        <f t="shared" si="0"/>
        <v>247500</v>
      </c>
    </row>
    <row r="14" spans="1:5" x14ac:dyDescent="0.25">
      <c r="A14" s="27">
        <v>12</v>
      </c>
      <c r="B14" s="27" t="s">
        <v>13</v>
      </c>
      <c r="C14" s="25">
        <v>3300000</v>
      </c>
      <c r="D14" s="25">
        <v>3705000</v>
      </c>
      <c r="E14" s="25">
        <f t="shared" si="0"/>
        <v>405000</v>
      </c>
    </row>
    <row r="15" spans="1:5" x14ac:dyDescent="0.25">
      <c r="A15" s="27">
        <v>13</v>
      </c>
      <c r="B15" s="27" t="s">
        <v>33</v>
      </c>
      <c r="C15" s="25">
        <v>1649999</v>
      </c>
      <c r="D15" s="25">
        <v>1947500</v>
      </c>
      <c r="E15" s="25">
        <f t="shared" si="0"/>
        <v>297501</v>
      </c>
    </row>
    <row r="16" spans="1:5" x14ac:dyDescent="0.25">
      <c r="A16" s="27">
        <v>14</v>
      </c>
      <c r="B16" s="27" t="s">
        <v>51</v>
      </c>
      <c r="C16" s="25">
        <v>2000000</v>
      </c>
      <c r="D16" s="25">
        <v>2137500</v>
      </c>
      <c r="E16" s="25">
        <f t="shared" si="0"/>
        <v>137500</v>
      </c>
    </row>
    <row r="17" spans="1:5" x14ac:dyDescent="0.25">
      <c r="A17" s="27">
        <v>15</v>
      </c>
      <c r="B17" s="27" t="s">
        <v>80</v>
      </c>
      <c r="C17" s="25">
        <v>1759998</v>
      </c>
      <c r="D17" s="25">
        <v>2296562</v>
      </c>
      <c r="E17" s="25">
        <f t="shared" si="0"/>
        <v>536564</v>
      </c>
    </row>
    <row r="18" spans="1:5" x14ac:dyDescent="0.25">
      <c r="A18" s="27">
        <v>16</v>
      </c>
      <c r="B18" s="27" t="s">
        <v>33</v>
      </c>
      <c r="C18" s="25">
        <v>1800000</v>
      </c>
      <c r="D18" s="25">
        <v>1947500</v>
      </c>
      <c r="E18" s="25">
        <f t="shared" si="0"/>
        <v>147500</v>
      </c>
    </row>
    <row r="19" spans="1:5" x14ac:dyDescent="0.25">
      <c r="A19" s="27">
        <v>17</v>
      </c>
      <c r="B19" s="27" t="s">
        <v>27</v>
      </c>
      <c r="C19" s="25">
        <v>3400000</v>
      </c>
      <c r="D19" s="25">
        <v>3752500</v>
      </c>
      <c r="E19" s="25">
        <f t="shared" si="0"/>
        <v>352500</v>
      </c>
    </row>
    <row r="20" spans="1:5" x14ac:dyDescent="0.25">
      <c r="A20" s="27">
        <v>18</v>
      </c>
      <c r="B20" s="27" t="s">
        <v>16</v>
      </c>
      <c r="C20" s="25">
        <v>1250000</v>
      </c>
      <c r="D20" s="25">
        <v>1424999</v>
      </c>
      <c r="E20" s="25">
        <f t="shared" si="0"/>
        <v>174999</v>
      </c>
    </row>
    <row r="21" spans="1:5" x14ac:dyDescent="0.25">
      <c r="A21" s="27">
        <v>19</v>
      </c>
      <c r="B21" s="27" t="s">
        <v>41</v>
      </c>
      <c r="C21" s="25">
        <v>1666677</v>
      </c>
      <c r="D21" s="25">
        <v>1700500</v>
      </c>
      <c r="E21" s="25">
        <f t="shared" si="0"/>
        <v>33823</v>
      </c>
    </row>
    <row r="22" spans="1:5" x14ac:dyDescent="0.25">
      <c r="A22" s="27">
        <v>20</v>
      </c>
      <c r="B22" s="27" t="s">
        <v>27</v>
      </c>
      <c r="C22" s="25">
        <v>3444444</v>
      </c>
      <c r="D22" s="25">
        <v>3704050</v>
      </c>
      <c r="E22" s="25">
        <f t="shared" si="0"/>
        <v>259606</v>
      </c>
    </row>
    <row r="23" spans="1:5" x14ac:dyDescent="0.25">
      <c r="A23" s="27">
        <v>21</v>
      </c>
      <c r="B23" s="27" t="s">
        <v>85</v>
      </c>
      <c r="C23" s="25">
        <v>4200000</v>
      </c>
      <c r="D23" s="25">
        <v>4931356</v>
      </c>
      <c r="E23" s="25">
        <f t="shared" si="0"/>
        <v>731356</v>
      </c>
    </row>
    <row r="24" spans="1:5" x14ac:dyDescent="0.25">
      <c r="A24" s="27">
        <v>22</v>
      </c>
      <c r="B24" s="27" t="s">
        <v>80</v>
      </c>
      <c r="C24" s="25">
        <v>4200000</v>
      </c>
      <c r="D24" s="26">
        <v>5452215</v>
      </c>
      <c r="E24" s="25">
        <f t="shared" si="0"/>
        <v>1252215</v>
      </c>
    </row>
    <row r="25" spans="1:5" x14ac:dyDescent="0.25">
      <c r="A25" s="27">
        <v>23</v>
      </c>
      <c r="B25" s="28" t="s">
        <v>26</v>
      </c>
      <c r="C25" s="25">
        <v>2099999</v>
      </c>
      <c r="D25" s="25">
        <v>2270500</v>
      </c>
      <c r="E25" s="25">
        <f t="shared" si="0"/>
        <v>170501</v>
      </c>
    </row>
    <row r="26" spans="1:5" x14ac:dyDescent="0.25">
      <c r="A26" s="27">
        <v>24</v>
      </c>
      <c r="B26" s="27" t="s">
        <v>5</v>
      </c>
      <c r="C26" s="25">
        <v>5600000</v>
      </c>
      <c r="D26" s="25">
        <v>5699999</v>
      </c>
      <c r="E26" s="25">
        <f t="shared" si="0"/>
        <v>99999</v>
      </c>
    </row>
    <row r="27" spans="1:5" x14ac:dyDescent="0.25">
      <c r="A27" s="27">
        <v>25</v>
      </c>
      <c r="B27" s="27" t="s">
        <v>13</v>
      </c>
      <c r="C27" s="25">
        <v>3600000</v>
      </c>
      <c r="D27" s="25">
        <v>3799999</v>
      </c>
      <c r="E27" s="25">
        <f t="shared" si="0"/>
        <v>199999</v>
      </c>
    </row>
    <row r="28" spans="1:5" x14ac:dyDescent="0.25">
      <c r="A28" s="27">
        <v>26</v>
      </c>
      <c r="B28" s="27" t="s">
        <v>13</v>
      </c>
      <c r="C28" s="25">
        <v>3690000</v>
      </c>
      <c r="D28" s="25">
        <v>3795250</v>
      </c>
      <c r="E28" s="25">
        <f t="shared" si="0"/>
        <v>105250</v>
      </c>
    </row>
    <row r="29" spans="1:5" x14ac:dyDescent="0.25">
      <c r="A29" s="27">
        <v>27</v>
      </c>
      <c r="B29" s="27" t="s">
        <v>16</v>
      </c>
      <c r="C29" s="25">
        <v>1200000</v>
      </c>
      <c r="D29" s="25">
        <v>1311000</v>
      </c>
      <c r="E29" s="25">
        <f t="shared" si="0"/>
        <v>111000</v>
      </c>
    </row>
    <row r="30" spans="1:5" x14ac:dyDescent="0.25">
      <c r="A30" s="27">
        <v>28</v>
      </c>
      <c r="B30" s="27" t="s">
        <v>28</v>
      </c>
      <c r="C30" s="25">
        <v>900000</v>
      </c>
      <c r="D30" s="25">
        <v>950000</v>
      </c>
      <c r="E30" s="25">
        <f t="shared" si="0"/>
        <v>50000</v>
      </c>
    </row>
    <row r="31" spans="1:5" x14ac:dyDescent="0.25">
      <c r="A31" s="27">
        <v>29</v>
      </c>
      <c r="B31" s="27" t="s">
        <v>13</v>
      </c>
      <c r="C31" s="25">
        <v>3700000</v>
      </c>
      <c r="D31" s="25">
        <v>3746800</v>
      </c>
      <c r="E31" s="25">
        <f t="shared" si="0"/>
        <v>46800</v>
      </c>
    </row>
    <row r="32" spans="1:5" x14ac:dyDescent="0.25">
      <c r="A32" s="27">
        <v>30</v>
      </c>
      <c r="B32" s="27" t="s">
        <v>42</v>
      </c>
      <c r="C32" s="25">
        <v>350000</v>
      </c>
      <c r="D32" s="25">
        <v>441750</v>
      </c>
      <c r="E32" s="25">
        <f t="shared" si="0"/>
        <v>91750</v>
      </c>
    </row>
    <row r="33" spans="1:5" x14ac:dyDescent="0.25">
      <c r="A33" s="27">
        <v>31</v>
      </c>
      <c r="B33" s="27" t="s">
        <v>86</v>
      </c>
      <c r="C33" s="25">
        <v>2300000</v>
      </c>
      <c r="D33" s="25">
        <v>2400000</v>
      </c>
      <c r="E33" s="25">
        <f t="shared" si="0"/>
        <v>100000</v>
      </c>
    </row>
    <row r="34" spans="1:5" x14ac:dyDescent="0.25">
      <c r="A34" s="89" t="s">
        <v>8</v>
      </c>
      <c r="B34" s="89"/>
      <c r="C34" s="89"/>
      <c r="D34" s="89"/>
      <c r="E34" s="8">
        <v>199749</v>
      </c>
    </row>
    <row r="35" spans="1:5" x14ac:dyDescent="0.25">
      <c r="A35" s="89" t="s">
        <v>9</v>
      </c>
      <c r="B35" s="89"/>
      <c r="C35" s="89"/>
      <c r="D35" s="89"/>
      <c r="E35" s="8">
        <f>SUM(E3:E33)-E34</f>
        <v>6850683</v>
      </c>
    </row>
    <row r="36" spans="1:5" x14ac:dyDescent="0.25">
      <c r="A36" s="27"/>
      <c r="C36" s="6"/>
      <c r="D36" s="6"/>
      <c r="E36" s="25"/>
    </row>
    <row r="37" spans="1:5" x14ac:dyDescent="0.25">
      <c r="A37" s="27"/>
      <c r="C37" s="6"/>
      <c r="D37" s="6"/>
      <c r="E37" s="25"/>
    </row>
    <row r="38" spans="1:5" x14ac:dyDescent="0.25">
      <c r="A38" s="27"/>
      <c r="C38" s="6"/>
      <c r="D38" s="6"/>
      <c r="E38" s="25"/>
    </row>
    <row r="39" spans="1:5" x14ac:dyDescent="0.25">
      <c r="A39" s="27"/>
      <c r="C39" s="6"/>
      <c r="D39" s="6"/>
      <c r="E39" s="25"/>
    </row>
    <row r="40" spans="1:5" x14ac:dyDescent="0.25">
      <c r="A40" s="27"/>
      <c r="C40" s="6"/>
      <c r="D40" s="6"/>
      <c r="E40" s="25"/>
    </row>
    <row r="41" spans="1:5" x14ac:dyDescent="0.25">
      <c r="A41" s="27"/>
      <c r="C41" s="6"/>
      <c r="D41" s="6"/>
      <c r="E41" s="25"/>
    </row>
    <row r="42" spans="1:5" x14ac:dyDescent="0.25">
      <c r="A42" s="27"/>
      <c r="C42" s="6"/>
      <c r="D42" s="6"/>
      <c r="E42" s="25"/>
    </row>
    <row r="43" spans="1:5" x14ac:dyDescent="0.25">
      <c r="A43" s="27"/>
      <c r="C43" s="6"/>
      <c r="D43" s="6"/>
      <c r="E43" s="25"/>
    </row>
    <row r="44" spans="1:5" x14ac:dyDescent="0.25">
      <c r="A44" s="27"/>
      <c r="C44" s="6"/>
      <c r="D44" s="21"/>
      <c r="E44" s="25"/>
    </row>
    <row r="45" spans="1:5" x14ac:dyDescent="0.25">
      <c r="A45" s="27"/>
      <c r="C45" s="21"/>
      <c r="D45" s="9"/>
      <c r="E45" s="25"/>
    </row>
    <row r="46" spans="1:5" x14ac:dyDescent="0.25">
      <c r="A46" s="27"/>
      <c r="C46" s="21"/>
      <c r="D46" s="6"/>
      <c r="E46" s="25"/>
    </row>
    <row r="47" spans="1:5" x14ac:dyDescent="0.25">
      <c r="A47" s="27"/>
      <c r="C47" s="6"/>
      <c r="D47" s="6"/>
      <c r="E47" s="25"/>
    </row>
    <row r="48" spans="1:5" x14ac:dyDescent="0.25">
      <c r="A48" s="28"/>
      <c r="C48" s="6"/>
      <c r="D48" s="6"/>
      <c r="E48" s="25"/>
    </row>
    <row r="49" spans="1:5" x14ac:dyDescent="0.25">
      <c r="A49" s="28"/>
      <c r="B49" s="18"/>
      <c r="C49" s="6"/>
      <c r="D49" s="6"/>
      <c r="E49" s="25"/>
    </row>
    <row r="50" spans="1:5" x14ac:dyDescent="0.25">
      <c r="A50" s="28"/>
      <c r="C50" s="6"/>
      <c r="D50" s="6"/>
      <c r="E50" s="25"/>
    </row>
    <row r="51" spans="1:5" x14ac:dyDescent="0.25">
      <c r="A51" s="28"/>
      <c r="C51" s="6"/>
      <c r="D51" s="6"/>
      <c r="E51" s="25"/>
    </row>
    <row r="52" spans="1:5" x14ac:dyDescent="0.25">
      <c r="A52" s="26"/>
      <c r="B52" s="26"/>
      <c r="C52" s="26"/>
      <c r="D52" s="26"/>
      <c r="E52" s="25"/>
    </row>
    <row r="53" spans="1:5" x14ac:dyDescent="0.25">
      <c r="A53" s="26"/>
      <c r="B53" s="26"/>
      <c r="C53" s="26"/>
      <c r="D53" s="26"/>
      <c r="E53" s="25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34:D34"/>
    <mergeCell ref="A35:D35"/>
  </mergeCells>
  <conditionalFormatting sqref="E1">
    <cfRule type="cellIs" dxfId="43" priority="7" operator="lessThan">
      <formula>0</formula>
    </cfRule>
  </conditionalFormatting>
  <conditionalFormatting sqref="E3:E117">
    <cfRule type="cellIs" dxfId="42" priority="1" operator="lessThan">
      <formula>0</formula>
    </cfRule>
  </conditionalFormatting>
  <conditionalFormatting sqref="E119:E163">
    <cfRule type="cellIs" dxfId="41" priority="6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BE6C4-3C86-4FEF-95A3-A3EEEF0F0F99}">
  <dimension ref="A1:G163"/>
  <sheetViews>
    <sheetView zoomScale="145" zoomScaleNormal="145" workbookViewId="0">
      <pane ySplit="1" topLeftCell="A38" activePane="bottomLeft" state="frozen"/>
      <selection pane="bottomLeft" activeCell="C45" sqref="C45"/>
    </sheetView>
  </sheetViews>
  <sheetFormatPr defaultRowHeight="15" x14ac:dyDescent="0.25"/>
  <cols>
    <col min="1" max="1" width="4.7109375" style="4" bestFit="1" customWidth="1"/>
    <col min="2" max="2" width="38.5703125" style="4" bestFit="1" customWidth="1"/>
    <col min="3" max="3" width="20.42578125" style="4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20" t="s">
        <v>0</v>
      </c>
      <c r="B1" s="20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46045</v>
      </c>
      <c r="B2" s="88"/>
      <c r="C2" s="88"/>
      <c r="D2" s="88"/>
      <c r="E2" s="88"/>
    </row>
    <row r="3" spans="1:5" x14ac:dyDescent="0.25">
      <c r="A3" s="4">
        <v>1</v>
      </c>
      <c r="B3" s="4" t="s">
        <v>16</v>
      </c>
      <c r="C3" s="6">
        <v>1200000</v>
      </c>
      <c r="D3" s="6">
        <v>1424999</v>
      </c>
      <c r="E3" s="6">
        <f t="shared" ref="E3:E51" si="0">D3-C3</f>
        <v>224999</v>
      </c>
    </row>
    <row r="4" spans="1:5" x14ac:dyDescent="0.25">
      <c r="A4" s="27">
        <v>2</v>
      </c>
      <c r="B4" s="27" t="s">
        <v>23</v>
      </c>
      <c r="C4" s="25">
        <v>1800000</v>
      </c>
      <c r="D4" s="25">
        <v>2089999</v>
      </c>
      <c r="E4" s="6">
        <f t="shared" si="0"/>
        <v>289999</v>
      </c>
    </row>
    <row r="5" spans="1:5" x14ac:dyDescent="0.25">
      <c r="A5" s="27">
        <v>3</v>
      </c>
      <c r="B5" s="27" t="s">
        <v>27</v>
      </c>
      <c r="C5" s="25">
        <v>3450000</v>
      </c>
      <c r="D5" s="25">
        <v>3514999</v>
      </c>
      <c r="E5" s="6">
        <f t="shared" si="0"/>
        <v>64999</v>
      </c>
    </row>
    <row r="6" spans="1:5" x14ac:dyDescent="0.25">
      <c r="A6" s="27">
        <v>4</v>
      </c>
      <c r="B6" s="27" t="s">
        <v>40</v>
      </c>
      <c r="C6" s="25">
        <v>730000</v>
      </c>
      <c r="D6" s="25">
        <v>1170320</v>
      </c>
      <c r="E6" s="6">
        <f t="shared" si="0"/>
        <v>440320</v>
      </c>
    </row>
    <row r="7" spans="1:5" x14ac:dyDescent="0.25">
      <c r="A7" s="27">
        <v>5</v>
      </c>
      <c r="B7" s="27" t="s">
        <v>43</v>
      </c>
      <c r="C7" s="25">
        <v>1000000</v>
      </c>
      <c r="D7" s="25">
        <v>1234999</v>
      </c>
      <c r="E7" s="25">
        <f t="shared" si="0"/>
        <v>234999</v>
      </c>
    </row>
    <row r="8" spans="1:5" x14ac:dyDescent="0.25">
      <c r="A8" s="27">
        <v>6</v>
      </c>
      <c r="B8" s="27" t="s">
        <v>26</v>
      </c>
      <c r="C8" s="25">
        <v>2000000</v>
      </c>
      <c r="D8" s="25">
        <v>2184978</v>
      </c>
      <c r="E8" s="25">
        <f t="shared" si="0"/>
        <v>184978</v>
      </c>
    </row>
    <row r="9" spans="1:5" x14ac:dyDescent="0.25">
      <c r="A9" s="27">
        <v>7</v>
      </c>
      <c r="B9" s="27" t="s">
        <v>43</v>
      </c>
      <c r="C9" s="25">
        <v>1000000</v>
      </c>
      <c r="D9" s="25">
        <v>1140000</v>
      </c>
      <c r="E9" s="25">
        <f t="shared" si="0"/>
        <v>140000</v>
      </c>
    </row>
    <row r="10" spans="1:5" x14ac:dyDescent="0.25">
      <c r="A10" s="27">
        <v>8</v>
      </c>
      <c r="B10" s="27" t="s">
        <v>51</v>
      </c>
      <c r="C10" s="25">
        <v>2050000</v>
      </c>
      <c r="D10" s="25">
        <v>2089905</v>
      </c>
      <c r="E10" s="25">
        <f t="shared" si="0"/>
        <v>39905</v>
      </c>
    </row>
    <row r="11" spans="1:5" x14ac:dyDescent="0.25">
      <c r="A11" s="27">
        <v>9</v>
      </c>
      <c r="B11" s="27" t="s">
        <v>73</v>
      </c>
      <c r="C11" s="25">
        <v>2000000</v>
      </c>
      <c r="D11" s="25">
        <v>2203000</v>
      </c>
      <c r="E11" s="25">
        <f t="shared" si="0"/>
        <v>203000</v>
      </c>
    </row>
    <row r="12" spans="1:5" x14ac:dyDescent="0.25">
      <c r="A12" s="27">
        <v>10</v>
      </c>
      <c r="B12" s="27" t="s">
        <v>80</v>
      </c>
      <c r="C12" s="25">
        <v>850000</v>
      </c>
      <c r="D12" s="25">
        <v>1179900</v>
      </c>
      <c r="E12" s="25">
        <f t="shared" si="0"/>
        <v>329900</v>
      </c>
    </row>
    <row r="13" spans="1:5" x14ac:dyDescent="0.25">
      <c r="A13" s="27">
        <v>11</v>
      </c>
      <c r="B13" s="27" t="s">
        <v>43</v>
      </c>
      <c r="C13" s="25">
        <v>1050000</v>
      </c>
      <c r="D13" s="25">
        <v>1235001</v>
      </c>
      <c r="E13" s="25">
        <f t="shared" si="0"/>
        <v>185001</v>
      </c>
    </row>
    <row r="14" spans="1:5" x14ac:dyDescent="0.25">
      <c r="A14" s="27">
        <v>12</v>
      </c>
      <c r="B14" s="27" t="s">
        <v>81</v>
      </c>
      <c r="C14" s="25">
        <v>9000000</v>
      </c>
      <c r="D14" s="25">
        <v>9499999</v>
      </c>
      <c r="E14" s="25">
        <f t="shared" si="0"/>
        <v>499999</v>
      </c>
    </row>
    <row r="15" spans="1:5" x14ac:dyDescent="0.25">
      <c r="A15" s="27">
        <v>13</v>
      </c>
      <c r="B15" s="27" t="s">
        <v>16</v>
      </c>
      <c r="C15" s="25">
        <v>1300000</v>
      </c>
      <c r="D15" s="25">
        <v>1425000</v>
      </c>
      <c r="E15" s="25">
        <f t="shared" si="0"/>
        <v>125000</v>
      </c>
    </row>
    <row r="16" spans="1:5" x14ac:dyDescent="0.25">
      <c r="A16" s="27">
        <v>14</v>
      </c>
      <c r="B16" s="27" t="s">
        <v>38</v>
      </c>
      <c r="C16" s="25">
        <v>2500000</v>
      </c>
      <c r="D16" s="25">
        <v>2706550</v>
      </c>
      <c r="E16" s="25">
        <f t="shared" si="0"/>
        <v>206550</v>
      </c>
    </row>
    <row r="17" spans="1:5" x14ac:dyDescent="0.25">
      <c r="A17" s="27">
        <v>15</v>
      </c>
      <c r="B17" s="27" t="s">
        <v>82</v>
      </c>
      <c r="C17" s="25">
        <v>7000000</v>
      </c>
      <c r="D17" s="25">
        <v>9523011</v>
      </c>
      <c r="E17" s="25">
        <f t="shared" si="0"/>
        <v>2523011</v>
      </c>
    </row>
    <row r="18" spans="1:5" x14ac:dyDescent="0.25">
      <c r="A18" s="27">
        <v>16</v>
      </c>
      <c r="B18" s="27" t="s">
        <v>38</v>
      </c>
      <c r="C18" s="25">
        <v>2600000</v>
      </c>
      <c r="D18" s="25">
        <v>2754050</v>
      </c>
      <c r="E18" s="25">
        <f t="shared" si="0"/>
        <v>154050</v>
      </c>
    </row>
    <row r="19" spans="1:5" x14ac:dyDescent="0.25">
      <c r="A19" s="27">
        <v>17</v>
      </c>
      <c r="B19" s="27" t="s">
        <v>38</v>
      </c>
      <c r="C19" s="25">
        <v>2600000</v>
      </c>
      <c r="D19" s="25">
        <v>2755000</v>
      </c>
      <c r="E19" s="25">
        <f t="shared" si="0"/>
        <v>155000</v>
      </c>
    </row>
    <row r="20" spans="1:5" x14ac:dyDescent="0.25">
      <c r="A20" s="27">
        <v>18</v>
      </c>
      <c r="B20" s="27" t="s">
        <v>38</v>
      </c>
      <c r="C20" s="25">
        <v>2600000</v>
      </c>
      <c r="D20" s="25">
        <v>2755000</v>
      </c>
      <c r="E20" s="25">
        <f t="shared" si="0"/>
        <v>155000</v>
      </c>
    </row>
    <row r="21" spans="1:5" x14ac:dyDescent="0.25">
      <c r="A21" s="27">
        <v>19</v>
      </c>
      <c r="B21" s="27" t="s">
        <v>38</v>
      </c>
      <c r="C21" s="25">
        <v>2600000</v>
      </c>
      <c r="D21" s="25">
        <v>2755000</v>
      </c>
      <c r="E21" s="25">
        <f t="shared" si="0"/>
        <v>155000</v>
      </c>
    </row>
    <row r="22" spans="1:5" x14ac:dyDescent="0.25">
      <c r="A22" s="27">
        <v>20</v>
      </c>
      <c r="B22" s="27" t="s">
        <v>38</v>
      </c>
      <c r="C22" s="25">
        <v>2600000</v>
      </c>
      <c r="D22" s="25">
        <v>2755000</v>
      </c>
      <c r="E22" s="25">
        <f t="shared" si="0"/>
        <v>155000</v>
      </c>
    </row>
    <row r="23" spans="1:5" x14ac:dyDescent="0.25">
      <c r="A23" s="27">
        <v>21</v>
      </c>
      <c r="B23" s="27" t="s">
        <v>38</v>
      </c>
      <c r="C23" s="25">
        <v>2600000</v>
      </c>
      <c r="D23" s="25">
        <v>2755000</v>
      </c>
      <c r="E23" s="25">
        <f t="shared" si="0"/>
        <v>155000</v>
      </c>
    </row>
    <row r="24" spans="1:5" x14ac:dyDescent="0.25">
      <c r="A24" s="27">
        <v>22</v>
      </c>
      <c r="B24" s="27" t="s">
        <v>38</v>
      </c>
      <c r="C24" s="25">
        <v>2600000</v>
      </c>
      <c r="D24" s="26">
        <v>2706550</v>
      </c>
      <c r="E24" s="25">
        <f t="shared" si="0"/>
        <v>106550</v>
      </c>
    </row>
    <row r="25" spans="1:5" x14ac:dyDescent="0.25">
      <c r="A25" s="27">
        <v>23</v>
      </c>
      <c r="B25" s="28" t="s">
        <v>38</v>
      </c>
      <c r="C25" s="25">
        <v>2600000</v>
      </c>
      <c r="D25" s="25">
        <v>2706550</v>
      </c>
      <c r="E25" s="25">
        <f t="shared" si="0"/>
        <v>106550</v>
      </c>
    </row>
    <row r="26" spans="1:5" x14ac:dyDescent="0.25">
      <c r="A26" s="27">
        <v>24</v>
      </c>
      <c r="B26" s="27" t="s">
        <v>38</v>
      </c>
      <c r="C26" s="25">
        <v>2600000</v>
      </c>
      <c r="D26" s="25">
        <v>2706550</v>
      </c>
      <c r="E26" s="25">
        <f t="shared" si="0"/>
        <v>106550</v>
      </c>
    </row>
    <row r="27" spans="1:5" x14ac:dyDescent="0.25">
      <c r="A27" s="27">
        <v>25</v>
      </c>
      <c r="B27" s="27" t="s">
        <v>38</v>
      </c>
      <c r="C27" s="25">
        <v>2600000</v>
      </c>
      <c r="D27" s="25">
        <v>2706550</v>
      </c>
      <c r="E27" s="25">
        <f t="shared" si="0"/>
        <v>106550</v>
      </c>
    </row>
    <row r="28" spans="1:5" x14ac:dyDescent="0.25">
      <c r="A28" s="27">
        <v>26</v>
      </c>
      <c r="B28" s="27" t="s">
        <v>38</v>
      </c>
      <c r="C28" s="25">
        <v>2600000</v>
      </c>
      <c r="D28" s="25">
        <v>2755000</v>
      </c>
      <c r="E28" s="25">
        <f t="shared" si="0"/>
        <v>155000</v>
      </c>
    </row>
    <row r="29" spans="1:5" x14ac:dyDescent="0.25">
      <c r="A29" s="27">
        <v>27</v>
      </c>
      <c r="B29" s="27" t="s">
        <v>27</v>
      </c>
      <c r="C29" s="25">
        <v>3500000</v>
      </c>
      <c r="D29" s="25">
        <v>3705000</v>
      </c>
      <c r="E29" s="25">
        <f t="shared" si="0"/>
        <v>205000</v>
      </c>
    </row>
    <row r="30" spans="1:5" x14ac:dyDescent="0.25">
      <c r="A30" s="27">
        <v>28</v>
      </c>
      <c r="B30" s="27" t="s">
        <v>43</v>
      </c>
      <c r="C30" s="25">
        <v>1000000</v>
      </c>
      <c r="D30" s="25">
        <v>1139050</v>
      </c>
      <c r="E30" s="25">
        <f t="shared" si="0"/>
        <v>139050</v>
      </c>
    </row>
    <row r="31" spans="1:5" x14ac:dyDescent="0.25">
      <c r="A31" s="27">
        <v>29</v>
      </c>
      <c r="B31" s="27" t="s">
        <v>43</v>
      </c>
      <c r="C31" s="25">
        <v>1000000</v>
      </c>
      <c r="D31" s="25">
        <v>1134300</v>
      </c>
      <c r="E31" s="25">
        <f t="shared" si="0"/>
        <v>134300</v>
      </c>
    </row>
    <row r="32" spans="1:5" x14ac:dyDescent="0.25">
      <c r="A32" s="27">
        <v>30</v>
      </c>
      <c r="B32" s="27" t="s">
        <v>43</v>
      </c>
      <c r="C32" s="25">
        <v>950000</v>
      </c>
      <c r="D32" s="25">
        <v>1134300</v>
      </c>
      <c r="E32" s="25">
        <f t="shared" si="0"/>
        <v>184300</v>
      </c>
    </row>
    <row r="33" spans="1:7" x14ac:dyDescent="0.25">
      <c r="A33" s="27">
        <v>31</v>
      </c>
      <c r="B33" s="27" t="s">
        <v>27</v>
      </c>
      <c r="C33" s="25">
        <v>3600000</v>
      </c>
      <c r="D33" s="25">
        <v>3705000</v>
      </c>
      <c r="E33" s="25">
        <f t="shared" si="0"/>
        <v>105000</v>
      </c>
    </row>
    <row r="34" spans="1:7" x14ac:dyDescent="0.25">
      <c r="A34" s="27">
        <v>32</v>
      </c>
      <c r="B34" s="26" t="s">
        <v>28</v>
      </c>
      <c r="C34" s="26">
        <v>800000</v>
      </c>
      <c r="D34" s="26">
        <v>949789</v>
      </c>
      <c r="E34" s="25">
        <f t="shared" si="0"/>
        <v>149789</v>
      </c>
    </row>
    <row r="35" spans="1:7" x14ac:dyDescent="0.25">
      <c r="A35" s="27">
        <v>33</v>
      </c>
      <c r="B35" s="26" t="s">
        <v>16</v>
      </c>
      <c r="C35" s="26">
        <v>1250000</v>
      </c>
      <c r="D35" s="26">
        <v>1372221</v>
      </c>
      <c r="E35" s="25">
        <f t="shared" si="0"/>
        <v>122221</v>
      </c>
    </row>
    <row r="36" spans="1:7" x14ac:dyDescent="0.25">
      <c r="A36" s="27">
        <v>34</v>
      </c>
      <c r="B36" s="4" t="s">
        <v>33</v>
      </c>
      <c r="C36" s="6">
        <v>1850000</v>
      </c>
      <c r="D36" s="6">
        <v>1995000</v>
      </c>
      <c r="E36" s="25">
        <f t="shared" si="0"/>
        <v>145000</v>
      </c>
    </row>
    <row r="37" spans="1:7" x14ac:dyDescent="0.25">
      <c r="A37" s="27">
        <v>35</v>
      </c>
      <c r="B37" s="4" t="s">
        <v>83</v>
      </c>
      <c r="C37" s="6">
        <v>228000</v>
      </c>
      <c r="D37" s="6">
        <v>581400</v>
      </c>
      <c r="E37" s="25">
        <f t="shared" si="0"/>
        <v>353400</v>
      </c>
    </row>
    <row r="38" spans="1:7" x14ac:dyDescent="0.25">
      <c r="A38" s="27">
        <v>36</v>
      </c>
      <c r="B38" s="4" t="s">
        <v>43</v>
      </c>
      <c r="C38" s="6">
        <v>900000</v>
      </c>
      <c r="D38" s="6">
        <v>1139050</v>
      </c>
      <c r="E38" s="25">
        <f t="shared" si="0"/>
        <v>239050</v>
      </c>
    </row>
    <row r="39" spans="1:7" x14ac:dyDescent="0.25">
      <c r="A39" s="27">
        <v>37</v>
      </c>
      <c r="B39" s="4" t="s">
        <v>43</v>
      </c>
      <c r="C39" s="6">
        <v>900000</v>
      </c>
      <c r="D39" s="6">
        <v>1138100</v>
      </c>
      <c r="E39" s="25">
        <f t="shared" si="0"/>
        <v>238100</v>
      </c>
    </row>
    <row r="40" spans="1:7" x14ac:dyDescent="0.25">
      <c r="A40" s="27">
        <v>38</v>
      </c>
      <c r="B40" s="4" t="s">
        <v>16</v>
      </c>
      <c r="C40" s="6">
        <v>1200000</v>
      </c>
      <c r="D40" s="6">
        <v>1330000</v>
      </c>
      <c r="E40" s="25">
        <f t="shared" si="0"/>
        <v>130000</v>
      </c>
    </row>
    <row r="41" spans="1:7" x14ac:dyDescent="0.25">
      <c r="A41" s="27">
        <v>39</v>
      </c>
      <c r="B41" s="4" t="s">
        <v>34</v>
      </c>
      <c r="C41" s="6">
        <v>4300000</v>
      </c>
      <c r="D41" s="6">
        <v>4416550</v>
      </c>
      <c r="E41" s="25">
        <f t="shared" si="0"/>
        <v>116550</v>
      </c>
    </row>
    <row r="42" spans="1:7" x14ac:dyDescent="0.25">
      <c r="A42" s="27">
        <v>40</v>
      </c>
      <c r="B42" s="4" t="s">
        <v>33</v>
      </c>
      <c r="C42" s="6">
        <v>1650000</v>
      </c>
      <c r="D42" s="6">
        <v>1995000</v>
      </c>
      <c r="E42" s="25">
        <f t="shared" si="0"/>
        <v>345000</v>
      </c>
    </row>
    <row r="43" spans="1:7" x14ac:dyDescent="0.25">
      <c r="A43" s="27">
        <v>41</v>
      </c>
      <c r="B43" s="4" t="s">
        <v>31</v>
      </c>
      <c r="C43" s="6">
        <v>1200000</v>
      </c>
      <c r="D43" s="6">
        <v>1339500</v>
      </c>
      <c r="E43" s="25">
        <f t="shared" si="0"/>
        <v>139500</v>
      </c>
      <c r="G43" s="4" t="s">
        <v>50</v>
      </c>
    </row>
    <row r="44" spans="1:7" x14ac:dyDescent="0.25">
      <c r="A44" s="27">
        <v>42</v>
      </c>
      <c r="B44" s="4" t="s">
        <v>31</v>
      </c>
      <c r="C44" s="6">
        <v>1200000</v>
      </c>
      <c r="D44" s="21">
        <v>1339500</v>
      </c>
      <c r="E44" s="25">
        <f t="shared" si="0"/>
        <v>139500</v>
      </c>
    </row>
    <row r="45" spans="1:7" x14ac:dyDescent="0.25">
      <c r="A45" s="27">
        <v>43</v>
      </c>
      <c r="B45" s="4" t="s">
        <v>81</v>
      </c>
      <c r="C45" s="21">
        <v>9000000</v>
      </c>
      <c r="D45" s="26">
        <v>8929999</v>
      </c>
      <c r="E45" s="25">
        <f t="shared" si="0"/>
        <v>-70001</v>
      </c>
    </row>
    <row r="46" spans="1:7" x14ac:dyDescent="0.25">
      <c r="A46" s="27">
        <v>44</v>
      </c>
      <c r="B46" s="4" t="s">
        <v>81</v>
      </c>
      <c r="C46" s="21">
        <v>9000000</v>
      </c>
      <c r="D46" s="6">
        <v>8929999</v>
      </c>
      <c r="E46" s="25">
        <f t="shared" si="0"/>
        <v>-70001</v>
      </c>
    </row>
    <row r="47" spans="1:7" x14ac:dyDescent="0.25">
      <c r="A47" s="27">
        <v>45</v>
      </c>
      <c r="B47" s="4" t="s">
        <v>28</v>
      </c>
      <c r="C47" s="6">
        <v>850000</v>
      </c>
      <c r="D47" s="6">
        <v>948100</v>
      </c>
      <c r="E47" s="25">
        <f t="shared" si="0"/>
        <v>98100</v>
      </c>
    </row>
    <row r="48" spans="1:7" x14ac:dyDescent="0.25">
      <c r="A48" s="28">
        <v>46</v>
      </c>
      <c r="B48" s="4" t="s">
        <v>28</v>
      </c>
      <c r="C48" s="6">
        <v>800000</v>
      </c>
      <c r="D48" s="6">
        <v>939443</v>
      </c>
      <c r="E48" s="25">
        <f t="shared" si="0"/>
        <v>139443</v>
      </c>
    </row>
    <row r="49" spans="1:5" x14ac:dyDescent="0.25">
      <c r="A49" s="28">
        <v>47</v>
      </c>
      <c r="B49" s="18" t="s">
        <v>5</v>
      </c>
      <c r="C49" s="6">
        <v>5600000</v>
      </c>
      <c r="D49" s="6">
        <v>5699999</v>
      </c>
      <c r="E49" s="25">
        <f t="shared" si="0"/>
        <v>99999</v>
      </c>
    </row>
    <row r="50" spans="1:5" x14ac:dyDescent="0.25">
      <c r="A50" s="28">
        <v>48</v>
      </c>
      <c r="B50" s="4" t="s">
        <v>62</v>
      </c>
      <c r="C50" s="6">
        <v>105000</v>
      </c>
      <c r="D50" s="6">
        <v>255749</v>
      </c>
      <c r="E50" s="25">
        <f t="shared" si="0"/>
        <v>150749</v>
      </c>
    </row>
    <row r="51" spans="1:5" x14ac:dyDescent="0.25">
      <c r="A51" s="28">
        <v>49</v>
      </c>
      <c r="B51" s="4" t="s">
        <v>84</v>
      </c>
      <c r="C51" s="6">
        <v>400000</v>
      </c>
      <c r="D51" s="6">
        <v>474999</v>
      </c>
      <c r="E51" s="25">
        <f t="shared" si="0"/>
        <v>74999</v>
      </c>
    </row>
    <row r="52" spans="1:5" x14ac:dyDescent="0.25">
      <c r="A52" s="89" t="s">
        <v>8</v>
      </c>
      <c r="B52" s="89"/>
      <c r="C52" s="89"/>
      <c r="D52" s="89"/>
      <c r="E52" s="8">
        <v>74389</v>
      </c>
    </row>
    <row r="53" spans="1:5" x14ac:dyDescent="0.25">
      <c r="A53" s="89" t="s">
        <v>9</v>
      </c>
      <c r="B53" s="89"/>
      <c r="C53" s="89"/>
      <c r="D53" s="89"/>
      <c r="E53" s="8">
        <f>SUM(E3:E51)-E52</f>
        <v>10437569</v>
      </c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9ADBE6C4-3C86-4FEF-95A3-A3EEEF0F0F99}"/>
  <mergeCells count="5">
    <mergeCell ref="A2:E2"/>
    <mergeCell ref="B162:D162"/>
    <mergeCell ref="B163:D163"/>
    <mergeCell ref="A52:D52"/>
    <mergeCell ref="A53:D53"/>
  </mergeCells>
  <conditionalFormatting sqref="E1">
    <cfRule type="cellIs" dxfId="40" priority="7" operator="lessThan">
      <formula>0</formula>
    </cfRule>
  </conditionalFormatting>
  <conditionalFormatting sqref="E3:E117">
    <cfRule type="cellIs" dxfId="39" priority="1" operator="lessThan">
      <formula>0</formula>
    </cfRule>
  </conditionalFormatting>
  <conditionalFormatting sqref="E119:E163">
    <cfRule type="cellIs" dxfId="38" priority="6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3628A-8BD8-4644-82F5-21089C09749A}">
  <dimension ref="A1:E163"/>
  <sheetViews>
    <sheetView zoomScale="145" zoomScaleNormal="145" workbookViewId="0">
      <pane ySplit="1" topLeftCell="A26" activePane="bottomLeft" state="frozen"/>
      <selection pane="bottomLeft" activeCell="C33" sqref="C33"/>
    </sheetView>
  </sheetViews>
  <sheetFormatPr defaultRowHeight="15" x14ac:dyDescent="0.25"/>
  <cols>
    <col min="1" max="1" width="4.7109375" style="4" bestFit="1" customWidth="1"/>
    <col min="2" max="2" width="38.5703125" style="4" bestFit="1" customWidth="1"/>
    <col min="3" max="3" width="19" style="4" bestFit="1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20" t="s">
        <v>0</v>
      </c>
      <c r="B1" s="20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46044</v>
      </c>
      <c r="B2" s="88"/>
      <c r="C2" s="88"/>
      <c r="D2" s="88"/>
      <c r="E2" s="88"/>
    </row>
    <row r="3" spans="1:5" x14ac:dyDescent="0.25">
      <c r="A3" s="4">
        <v>1</v>
      </c>
      <c r="B3" s="4" t="s">
        <v>29</v>
      </c>
      <c r="C3" s="6">
        <v>850000</v>
      </c>
      <c r="D3" s="6">
        <v>1044999</v>
      </c>
      <c r="E3" s="6">
        <f t="shared" ref="E3:E33" si="0">D3-C3</f>
        <v>194999</v>
      </c>
    </row>
    <row r="4" spans="1:5" x14ac:dyDescent="0.25">
      <c r="A4" s="4">
        <v>2</v>
      </c>
      <c r="B4" s="4" t="s">
        <v>23</v>
      </c>
      <c r="C4" s="6">
        <v>2111111</v>
      </c>
      <c r="D4" s="6">
        <v>2090000</v>
      </c>
      <c r="E4" s="6">
        <f t="shared" si="0"/>
        <v>-21111</v>
      </c>
    </row>
    <row r="5" spans="1:5" x14ac:dyDescent="0.25">
      <c r="A5" s="4">
        <v>3</v>
      </c>
      <c r="B5" s="4" t="s">
        <v>23</v>
      </c>
      <c r="C5" s="6">
        <v>2100001</v>
      </c>
      <c r="D5" s="6">
        <v>2090000</v>
      </c>
      <c r="E5" s="6">
        <f t="shared" si="0"/>
        <v>-10001</v>
      </c>
    </row>
    <row r="6" spans="1:5" x14ac:dyDescent="0.25">
      <c r="A6" s="4">
        <v>4</v>
      </c>
      <c r="B6" s="4" t="s">
        <v>53</v>
      </c>
      <c r="C6" s="6">
        <v>500000</v>
      </c>
      <c r="D6" s="6">
        <v>855000</v>
      </c>
      <c r="E6" s="6">
        <f t="shared" si="0"/>
        <v>355000</v>
      </c>
    </row>
    <row r="7" spans="1:5" x14ac:dyDescent="0.25">
      <c r="A7" s="4">
        <v>5</v>
      </c>
      <c r="B7" s="4" t="s">
        <v>67</v>
      </c>
      <c r="C7" s="6">
        <v>450000</v>
      </c>
      <c r="D7" s="6">
        <v>532000</v>
      </c>
      <c r="E7" s="6">
        <f t="shared" si="0"/>
        <v>82000</v>
      </c>
    </row>
    <row r="8" spans="1:5" x14ac:dyDescent="0.25">
      <c r="A8" s="4">
        <v>6</v>
      </c>
      <c r="B8" s="4" t="s">
        <v>23</v>
      </c>
      <c r="C8" s="6">
        <v>1900000</v>
      </c>
      <c r="D8" s="6">
        <v>2200000</v>
      </c>
      <c r="E8" s="6">
        <f t="shared" si="0"/>
        <v>300000</v>
      </c>
    </row>
    <row r="9" spans="1:5" x14ac:dyDescent="0.25">
      <c r="A9" s="4">
        <v>7</v>
      </c>
      <c r="B9" s="4" t="s">
        <v>43</v>
      </c>
      <c r="C9" s="6">
        <v>1000000</v>
      </c>
      <c r="D9" s="6">
        <v>1235000</v>
      </c>
      <c r="E9" s="6">
        <f t="shared" si="0"/>
        <v>235000</v>
      </c>
    </row>
    <row r="10" spans="1:5" x14ac:dyDescent="0.25">
      <c r="A10" s="4">
        <v>8</v>
      </c>
      <c r="B10" s="4" t="s">
        <v>28</v>
      </c>
      <c r="C10" s="6">
        <v>789999</v>
      </c>
      <c r="D10" s="6">
        <v>950000</v>
      </c>
      <c r="E10" s="6">
        <f t="shared" si="0"/>
        <v>160001</v>
      </c>
    </row>
    <row r="11" spans="1:5" x14ac:dyDescent="0.25">
      <c r="A11" s="4">
        <v>9</v>
      </c>
      <c r="B11" s="4" t="s">
        <v>28</v>
      </c>
      <c r="C11" s="6">
        <v>775000</v>
      </c>
      <c r="D11" s="6">
        <v>950000</v>
      </c>
      <c r="E11" s="6">
        <f t="shared" si="0"/>
        <v>175000</v>
      </c>
    </row>
    <row r="12" spans="1:5" x14ac:dyDescent="0.25">
      <c r="A12" s="4">
        <v>10</v>
      </c>
      <c r="B12" s="4" t="s">
        <v>28</v>
      </c>
      <c r="C12" s="6">
        <v>800000</v>
      </c>
      <c r="D12" s="6">
        <v>950000</v>
      </c>
      <c r="E12" s="6">
        <f t="shared" si="0"/>
        <v>150000</v>
      </c>
    </row>
    <row r="13" spans="1:5" x14ac:dyDescent="0.25">
      <c r="A13" s="4">
        <v>11</v>
      </c>
      <c r="B13" s="4" t="s">
        <v>28</v>
      </c>
      <c r="C13" s="6">
        <v>850000</v>
      </c>
      <c r="D13" s="6">
        <v>950000</v>
      </c>
      <c r="E13" s="6">
        <f t="shared" si="0"/>
        <v>100000</v>
      </c>
    </row>
    <row r="14" spans="1:5" x14ac:dyDescent="0.25">
      <c r="A14" s="4">
        <v>12</v>
      </c>
      <c r="B14" s="4" t="s">
        <v>23</v>
      </c>
      <c r="C14" s="6">
        <v>1900000</v>
      </c>
      <c r="D14" s="6">
        <v>2089999</v>
      </c>
      <c r="E14" s="6">
        <f t="shared" si="0"/>
        <v>189999</v>
      </c>
    </row>
    <row r="15" spans="1:5" x14ac:dyDescent="0.25">
      <c r="A15" s="4">
        <v>13</v>
      </c>
      <c r="B15" s="4" t="s">
        <v>13</v>
      </c>
      <c r="C15" s="6">
        <v>3600000</v>
      </c>
      <c r="D15" s="6">
        <v>3796200</v>
      </c>
      <c r="E15" s="6">
        <f t="shared" si="0"/>
        <v>196200</v>
      </c>
    </row>
    <row r="16" spans="1:5" x14ac:dyDescent="0.25">
      <c r="A16" s="4">
        <v>14</v>
      </c>
      <c r="B16" s="4" t="s">
        <v>13</v>
      </c>
      <c r="C16" s="6">
        <v>3555555</v>
      </c>
      <c r="D16" s="6">
        <v>3795250</v>
      </c>
      <c r="E16" s="6">
        <f t="shared" si="0"/>
        <v>239695</v>
      </c>
    </row>
    <row r="17" spans="1:5" x14ac:dyDescent="0.25">
      <c r="A17" s="4">
        <v>15</v>
      </c>
      <c r="B17" s="4" t="s">
        <v>5</v>
      </c>
      <c r="C17" s="6">
        <v>5600000</v>
      </c>
      <c r="D17" s="6">
        <v>5700000</v>
      </c>
      <c r="E17" s="6">
        <f t="shared" si="0"/>
        <v>100000</v>
      </c>
    </row>
    <row r="18" spans="1:5" x14ac:dyDescent="0.25">
      <c r="A18" s="4">
        <v>16</v>
      </c>
      <c r="B18" s="4" t="s">
        <v>28</v>
      </c>
      <c r="C18" s="6">
        <v>835000</v>
      </c>
      <c r="D18" s="6">
        <v>950000</v>
      </c>
      <c r="E18" s="6">
        <f t="shared" si="0"/>
        <v>115000</v>
      </c>
    </row>
    <row r="19" spans="1:5" x14ac:dyDescent="0.25">
      <c r="A19" s="4">
        <v>17</v>
      </c>
      <c r="B19" s="4" t="s">
        <v>38</v>
      </c>
      <c r="C19" s="6">
        <v>2600000</v>
      </c>
      <c r="D19" s="6">
        <v>2850000</v>
      </c>
      <c r="E19" s="6">
        <f t="shared" si="0"/>
        <v>250000</v>
      </c>
    </row>
    <row r="20" spans="1:5" x14ac:dyDescent="0.25">
      <c r="A20" s="4">
        <v>18</v>
      </c>
      <c r="B20" s="4" t="s">
        <v>38</v>
      </c>
      <c r="C20" s="6">
        <v>2600000</v>
      </c>
      <c r="D20" s="6">
        <v>2850000</v>
      </c>
      <c r="E20" s="6">
        <f t="shared" si="0"/>
        <v>250000</v>
      </c>
    </row>
    <row r="21" spans="1:5" x14ac:dyDescent="0.25">
      <c r="A21" s="4">
        <v>19</v>
      </c>
      <c r="B21" s="4" t="s">
        <v>38</v>
      </c>
      <c r="C21" s="6">
        <v>2600000</v>
      </c>
      <c r="D21" s="6">
        <v>2850000</v>
      </c>
      <c r="E21" s="6">
        <f t="shared" si="0"/>
        <v>250000</v>
      </c>
    </row>
    <row r="22" spans="1:5" x14ac:dyDescent="0.25">
      <c r="A22" s="4">
        <v>20</v>
      </c>
      <c r="B22" s="4" t="s">
        <v>38</v>
      </c>
      <c r="C22" s="6">
        <v>2600000</v>
      </c>
      <c r="D22" s="6">
        <v>2850000</v>
      </c>
      <c r="E22" s="6">
        <f t="shared" si="0"/>
        <v>250000</v>
      </c>
    </row>
    <row r="23" spans="1:5" x14ac:dyDescent="0.25">
      <c r="A23" s="4">
        <v>21</v>
      </c>
      <c r="B23" s="4" t="s">
        <v>38</v>
      </c>
      <c r="C23" s="6">
        <v>2600000</v>
      </c>
      <c r="D23" s="21">
        <v>2849999</v>
      </c>
      <c r="E23" s="6">
        <f t="shared" si="0"/>
        <v>249999</v>
      </c>
    </row>
    <row r="24" spans="1:5" x14ac:dyDescent="0.25">
      <c r="A24" s="4">
        <v>22</v>
      </c>
      <c r="B24" s="4" t="s">
        <v>38</v>
      </c>
      <c r="C24" s="6">
        <v>2600000</v>
      </c>
      <c r="D24" s="21">
        <v>2849999</v>
      </c>
      <c r="E24" s="6">
        <f t="shared" si="0"/>
        <v>249999</v>
      </c>
    </row>
    <row r="25" spans="1:5" x14ac:dyDescent="0.25">
      <c r="A25" s="4">
        <v>23</v>
      </c>
      <c r="B25" s="18" t="s">
        <v>79</v>
      </c>
      <c r="C25" s="6">
        <v>270000</v>
      </c>
      <c r="D25" s="6">
        <v>353419</v>
      </c>
      <c r="E25" s="6">
        <f t="shared" si="0"/>
        <v>83419</v>
      </c>
    </row>
    <row r="26" spans="1:5" x14ac:dyDescent="0.25">
      <c r="A26" s="4">
        <v>24</v>
      </c>
      <c r="B26" s="4" t="s">
        <v>38</v>
      </c>
      <c r="C26" s="6">
        <v>2055000</v>
      </c>
      <c r="D26" s="6">
        <v>2850000</v>
      </c>
      <c r="E26" s="6">
        <f t="shared" si="0"/>
        <v>795000</v>
      </c>
    </row>
    <row r="27" spans="1:5" x14ac:dyDescent="0.25">
      <c r="A27" s="4">
        <v>25</v>
      </c>
      <c r="B27" s="4" t="s">
        <v>38</v>
      </c>
      <c r="C27" s="6">
        <v>2055000</v>
      </c>
      <c r="D27" s="6">
        <v>2850000</v>
      </c>
      <c r="E27" s="6">
        <f t="shared" si="0"/>
        <v>795000</v>
      </c>
    </row>
    <row r="28" spans="1:5" x14ac:dyDescent="0.25">
      <c r="A28" s="4">
        <v>26</v>
      </c>
      <c r="B28" s="4" t="s">
        <v>28</v>
      </c>
      <c r="C28" s="6">
        <v>700000</v>
      </c>
      <c r="D28" s="6">
        <v>949999</v>
      </c>
      <c r="E28" s="6">
        <f t="shared" si="0"/>
        <v>249999</v>
      </c>
    </row>
    <row r="29" spans="1:5" x14ac:dyDescent="0.25">
      <c r="A29" s="4">
        <v>27</v>
      </c>
      <c r="B29" s="4" t="s">
        <v>41</v>
      </c>
      <c r="C29" s="6">
        <v>700000</v>
      </c>
      <c r="D29" s="6">
        <v>1653000</v>
      </c>
      <c r="E29" s="6">
        <f t="shared" si="0"/>
        <v>953000</v>
      </c>
    </row>
    <row r="30" spans="1:5" x14ac:dyDescent="0.25">
      <c r="A30" s="4">
        <v>28</v>
      </c>
      <c r="B30" s="4" t="s">
        <v>31</v>
      </c>
      <c r="C30" s="6">
        <v>1200000</v>
      </c>
      <c r="D30" s="6">
        <v>1567500</v>
      </c>
      <c r="E30" s="6">
        <f t="shared" si="0"/>
        <v>367500</v>
      </c>
    </row>
    <row r="31" spans="1:5" x14ac:dyDescent="0.25">
      <c r="A31" s="4">
        <v>29</v>
      </c>
      <c r="B31" s="4" t="s">
        <v>31</v>
      </c>
      <c r="C31" s="6">
        <v>1200000</v>
      </c>
      <c r="D31" s="6">
        <v>1567500</v>
      </c>
      <c r="E31" s="6">
        <f t="shared" si="0"/>
        <v>367500</v>
      </c>
    </row>
    <row r="32" spans="1:5" x14ac:dyDescent="0.25">
      <c r="A32" s="4">
        <v>30</v>
      </c>
      <c r="B32" s="4" t="s">
        <v>31</v>
      </c>
      <c r="C32" s="6">
        <v>1200000</v>
      </c>
      <c r="D32" s="6">
        <v>1691000</v>
      </c>
      <c r="E32" s="6">
        <f t="shared" si="0"/>
        <v>491000</v>
      </c>
    </row>
    <row r="33" spans="1:5" x14ac:dyDescent="0.25">
      <c r="A33" s="4">
        <v>31</v>
      </c>
      <c r="B33" s="4" t="s">
        <v>26</v>
      </c>
      <c r="C33" s="6">
        <v>2000000</v>
      </c>
      <c r="D33" s="6">
        <v>2090000</v>
      </c>
      <c r="E33" s="6">
        <f t="shared" si="0"/>
        <v>90000</v>
      </c>
    </row>
    <row r="34" spans="1:5" x14ac:dyDescent="0.25">
      <c r="A34" s="89" t="s">
        <v>8</v>
      </c>
      <c r="B34" s="89"/>
      <c r="C34" s="89"/>
      <c r="D34" s="89"/>
      <c r="E34" s="8">
        <v>716944</v>
      </c>
    </row>
    <row r="35" spans="1:5" x14ac:dyDescent="0.25">
      <c r="A35" s="89" t="s">
        <v>9</v>
      </c>
      <c r="B35" s="89"/>
      <c r="C35" s="89"/>
      <c r="D35" s="89"/>
      <c r="E35" s="8">
        <f>SUM(E3:E33)-E34</f>
        <v>7537254</v>
      </c>
    </row>
    <row r="36" spans="1:5" x14ac:dyDescent="0.25">
      <c r="A36" s="18"/>
      <c r="C36" s="6"/>
      <c r="D36" s="6"/>
      <c r="E36" s="6"/>
    </row>
    <row r="37" spans="1:5" x14ac:dyDescent="0.25">
      <c r="A37" s="18"/>
      <c r="C37" s="6"/>
      <c r="D37" s="6"/>
      <c r="E37" s="6"/>
    </row>
    <row r="38" spans="1:5" x14ac:dyDescent="0.25">
      <c r="A38" s="18"/>
      <c r="C38" s="6"/>
      <c r="D38" s="6"/>
      <c r="E38" s="6"/>
    </row>
    <row r="39" spans="1:5" x14ac:dyDescent="0.25">
      <c r="A39" s="18"/>
      <c r="C39" s="6"/>
      <c r="D39" s="6"/>
      <c r="E39" s="6"/>
    </row>
    <row r="40" spans="1:5" x14ac:dyDescent="0.25">
      <c r="A40" s="18"/>
      <c r="C40" s="6"/>
      <c r="D40" s="6"/>
      <c r="E40" s="6"/>
    </row>
    <row r="41" spans="1:5" x14ac:dyDescent="0.25">
      <c r="A41" s="18"/>
      <c r="C41" s="6"/>
      <c r="D41" s="6"/>
      <c r="E41" s="6"/>
    </row>
    <row r="42" spans="1:5" x14ac:dyDescent="0.25">
      <c r="A42" s="18"/>
      <c r="C42" s="6"/>
      <c r="D42" s="6"/>
      <c r="E42" s="6"/>
    </row>
    <row r="43" spans="1:5" x14ac:dyDescent="0.25">
      <c r="A43" s="18"/>
      <c r="C43" s="6"/>
      <c r="D43" s="6"/>
      <c r="E43" s="6"/>
    </row>
    <row r="44" spans="1:5" x14ac:dyDescent="0.25">
      <c r="A44" s="18"/>
      <c r="C44" s="21"/>
      <c r="D44" s="21"/>
      <c r="E44" s="6"/>
    </row>
    <row r="45" spans="1:5" x14ac:dyDescent="0.25">
      <c r="A45" s="18"/>
      <c r="C45" s="21"/>
      <c r="D45" s="9"/>
      <c r="E45" s="22"/>
    </row>
    <row r="46" spans="1:5" x14ac:dyDescent="0.25">
      <c r="A46" s="18"/>
      <c r="C46" s="6"/>
      <c r="D46" s="6"/>
      <c r="E46" s="22"/>
    </row>
    <row r="47" spans="1:5" x14ac:dyDescent="0.25">
      <c r="A47" s="18"/>
      <c r="C47" s="6"/>
      <c r="D47" s="6"/>
      <c r="E47" s="6"/>
    </row>
    <row r="48" spans="1:5" x14ac:dyDescent="0.25">
      <c r="A48" s="18"/>
      <c r="C48" s="6"/>
      <c r="D48" s="6"/>
      <c r="E48" s="6"/>
    </row>
    <row r="49" spans="1:5" x14ac:dyDescent="0.25">
      <c r="A49" s="18"/>
      <c r="B49" s="18"/>
      <c r="C49" s="6"/>
      <c r="D49" s="6"/>
      <c r="E49" s="6"/>
    </row>
    <row r="50" spans="1:5" x14ac:dyDescent="0.25">
      <c r="A50" s="18"/>
      <c r="C50" s="6"/>
      <c r="D50" s="6"/>
      <c r="E50" s="6"/>
    </row>
    <row r="51" spans="1:5" x14ac:dyDescent="0.25">
      <c r="A51" s="18"/>
      <c r="C51" s="6"/>
      <c r="D51" s="6"/>
      <c r="E51" s="6"/>
    </row>
    <row r="52" spans="1:5" x14ac:dyDescent="0.25">
      <c r="A52" s="18"/>
      <c r="C52" s="6"/>
      <c r="D52" s="6"/>
      <c r="E52" s="6"/>
    </row>
    <row r="53" spans="1:5" x14ac:dyDescent="0.25">
      <c r="A53" s="18"/>
      <c r="C53" s="6"/>
      <c r="D53" s="6"/>
      <c r="E53" s="6"/>
    </row>
    <row r="54" spans="1:5" x14ac:dyDescent="0.25">
      <c r="A54" s="18"/>
      <c r="C54" s="6"/>
      <c r="D54" s="6"/>
      <c r="E54" s="6"/>
    </row>
    <row r="55" spans="1:5" x14ac:dyDescent="0.25">
      <c r="A55" s="18"/>
      <c r="C55" s="6"/>
      <c r="D55" s="6"/>
      <c r="E55" s="6"/>
    </row>
    <row r="56" spans="1:5" x14ac:dyDescent="0.25">
      <c r="A56" s="18"/>
      <c r="C56" s="6"/>
      <c r="D56" s="6"/>
      <c r="E56" s="6"/>
    </row>
    <row r="57" spans="1:5" x14ac:dyDescent="0.25">
      <c r="A57" s="18"/>
      <c r="C57" s="6"/>
      <c r="D57" s="6"/>
      <c r="E57" s="6"/>
    </row>
    <row r="58" spans="1:5" x14ac:dyDescent="0.25">
      <c r="A58" s="18"/>
      <c r="C58" s="6"/>
      <c r="D58" s="6"/>
      <c r="E58" s="6"/>
    </row>
    <row r="59" spans="1:5" x14ac:dyDescent="0.25">
      <c r="A59" s="18"/>
      <c r="C59" s="6"/>
      <c r="D59" s="6"/>
      <c r="E59" s="6"/>
    </row>
    <row r="60" spans="1:5" x14ac:dyDescent="0.25">
      <c r="A60" s="18"/>
      <c r="C60" s="6"/>
      <c r="D60" s="6"/>
      <c r="E60" s="6"/>
    </row>
    <row r="61" spans="1:5" x14ac:dyDescent="0.25">
      <c r="A61" s="18"/>
      <c r="C61" s="6"/>
      <c r="D61" s="6"/>
      <c r="E61" s="6"/>
    </row>
    <row r="62" spans="1:5" x14ac:dyDescent="0.25">
      <c r="A62" s="18"/>
      <c r="C62" s="6"/>
      <c r="D62" s="6"/>
      <c r="E62" s="6"/>
    </row>
    <row r="63" spans="1:5" x14ac:dyDescent="0.25">
      <c r="A63" s="18"/>
      <c r="C63" s="6"/>
      <c r="D63" s="6"/>
      <c r="E63" s="6"/>
    </row>
    <row r="64" spans="1:5" x14ac:dyDescent="0.25">
      <c r="A64" s="18"/>
      <c r="C64" s="6"/>
      <c r="D64" s="6"/>
      <c r="E64" s="6"/>
    </row>
    <row r="65" spans="1:5" x14ac:dyDescent="0.25">
      <c r="A65" s="18"/>
      <c r="C65" s="6"/>
      <c r="D65" s="6"/>
      <c r="E65" s="6"/>
    </row>
    <row r="66" spans="1:5" x14ac:dyDescent="0.25">
      <c r="A66" s="18"/>
      <c r="C66" s="6"/>
      <c r="D66" s="6"/>
      <c r="E66" s="6"/>
    </row>
    <row r="67" spans="1:5" x14ac:dyDescent="0.25">
      <c r="A67" s="18"/>
      <c r="C67" s="6"/>
      <c r="D67" s="6"/>
      <c r="E67" s="6"/>
    </row>
    <row r="68" spans="1:5" x14ac:dyDescent="0.25">
      <c r="A68" s="18"/>
      <c r="C68" s="6"/>
      <c r="D68" s="6"/>
      <c r="E68" s="6"/>
    </row>
    <row r="69" spans="1:5" x14ac:dyDescent="0.25">
      <c r="A69" s="18"/>
      <c r="C69" s="6"/>
      <c r="D69" s="6"/>
      <c r="E69" s="6"/>
    </row>
    <row r="70" spans="1:5" x14ac:dyDescent="0.25">
      <c r="A70" s="18"/>
      <c r="C70" s="6"/>
      <c r="D70" s="6"/>
      <c r="E70" s="6"/>
    </row>
    <row r="71" spans="1:5" x14ac:dyDescent="0.25">
      <c r="A71" s="18"/>
      <c r="C71" s="6"/>
      <c r="D71" s="6"/>
      <c r="E71" s="6"/>
    </row>
    <row r="72" spans="1:5" x14ac:dyDescent="0.25">
      <c r="A72" s="18"/>
      <c r="B72" s="10"/>
      <c r="C72" s="6"/>
      <c r="D72" s="6"/>
      <c r="E72" s="6"/>
    </row>
    <row r="73" spans="1:5" x14ac:dyDescent="0.25">
      <c r="A73" s="26"/>
      <c r="B73" s="26"/>
      <c r="C73" s="26"/>
      <c r="D73" s="26"/>
      <c r="E73" s="25"/>
    </row>
    <row r="74" spans="1:5" x14ac:dyDescent="0.25">
      <c r="A74" s="26"/>
      <c r="B74" s="26"/>
      <c r="C74" s="26"/>
      <c r="D74" s="26"/>
      <c r="E74" s="25"/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35" xr:uid="{68A3628A-8BD8-4644-82F5-21089C09749A}"/>
  <mergeCells count="5">
    <mergeCell ref="A2:E2"/>
    <mergeCell ref="B162:D162"/>
    <mergeCell ref="B163:D163"/>
    <mergeCell ref="A34:D34"/>
    <mergeCell ref="A35:D35"/>
  </mergeCells>
  <conditionalFormatting sqref="E1">
    <cfRule type="cellIs" dxfId="37" priority="6" operator="lessThan">
      <formula>0</formula>
    </cfRule>
  </conditionalFormatting>
  <conditionalFormatting sqref="E3:E117">
    <cfRule type="cellIs" dxfId="36" priority="1" operator="lessThan">
      <formula>0</formula>
    </cfRule>
  </conditionalFormatting>
  <conditionalFormatting sqref="E119:E163">
    <cfRule type="cellIs" dxfId="35" priority="5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BACB5-E461-449C-8847-AAB337A15B65}">
  <dimension ref="A1:E163"/>
  <sheetViews>
    <sheetView zoomScale="145" zoomScaleNormal="145" workbookViewId="0">
      <pane ySplit="1" topLeftCell="A2" activePane="bottomLeft" state="frozen"/>
      <selection pane="bottomLeft" activeCell="D32" sqref="D32"/>
    </sheetView>
  </sheetViews>
  <sheetFormatPr defaultRowHeight="15" x14ac:dyDescent="0.25"/>
  <cols>
    <col min="1" max="1" width="4.7109375" style="4" bestFit="1" customWidth="1"/>
    <col min="2" max="2" width="38.5703125" style="4" bestFit="1" customWidth="1"/>
    <col min="3" max="3" width="19" style="4" bestFit="1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19" t="s">
        <v>0</v>
      </c>
      <c r="B1" s="19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46043</v>
      </c>
      <c r="B2" s="88"/>
      <c r="C2" s="88"/>
      <c r="D2" s="88"/>
      <c r="E2" s="88"/>
    </row>
    <row r="3" spans="1:5" x14ac:dyDescent="0.25">
      <c r="A3" s="4">
        <v>1</v>
      </c>
      <c r="B3" s="4" t="s">
        <v>41</v>
      </c>
      <c r="C3" s="6">
        <v>1700000</v>
      </c>
      <c r="D3" s="6">
        <v>1804999</v>
      </c>
      <c r="E3" s="6">
        <f t="shared" ref="E3:E66" si="0">D3-C3</f>
        <v>104999</v>
      </c>
    </row>
    <row r="4" spans="1:5" x14ac:dyDescent="0.25">
      <c r="A4" s="4">
        <v>2</v>
      </c>
      <c r="B4" s="4" t="s">
        <v>43</v>
      </c>
      <c r="C4" s="6">
        <v>999999</v>
      </c>
      <c r="D4" s="6">
        <v>1140000</v>
      </c>
      <c r="E4" s="6">
        <f t="shared" si="0"/>
        <v>140001</v>
      </c>
    </row>
    <row r="5" spans="1:5" x14ac:dyDescent="0.25">
      <c r="A5" s="4">
        <v>3</v>
      </c>
      <c r="B5" s="4" t="s">
        <v>43</v>
      </c>
      <c r="C5" s="6">
        <v>999999</v>
      </c>
      <c r="D5" s="6">
        <v>1140000</v>
      </c>
      <c r="E5" s="6">
        <f t="shared" si="0"/>
        <v>140001</v>
      </c>
    </row>
    <row r="6" spans="1:5" x14ac:dyDescent="0.25">
      <c r="A6" s="18">
        <v>4</v>
      </c>
      <c r="B6" s="4" t="s">
        <v>66</v>
      </c>
      <c r="C6" s="6">
        <v>1100000</v>
      </c>
      <c r="D6" s="6">
        <v>1282500</v>
      </c>
      <c r="E6" s="6">
        <f t="shared" si="0"/>
        <v>182500</v>
      </c>
    </row>
    <row r="7" spans="1:5" x14ac:dyDescent="0.25">
      <c r="A7" s="18">
        <v>5</v>
      </c>
      <c r="B7" s="4" t="s">
        <v>43</v>
      </c>
      <c r="C7" s="6">
        <v>1000000</v>
      </c>
      <c r="D7" s="6">
        <v>1140000</v>
      </c>
      <c r="E7" s="6">
        <f t="shared" si="0"/>
        <v>140000</v>
      </c>
    </row>
    <row r="8" spans="1:5" x14ac:dyDescent="0.25">
      <c r="A8" s="18">
        <v>6</v>
      </c>
      <c r="B8" s="4" t="s">
        <v>75</v>
      </c>
      <c r="C8" s="6">
        <v>650000</v>
      </c>
      <c r="D8" s="6">
        <v>731500</v>
      </c>
      <c r="E8" s="6">
        <f t="shared" si="0"/>
        <v>81500</v>
      </c>
    </row>
    <row r="9" spans="1:5" x14ac:dyDescent="0.25">
      <c r="A9" s="18">
        <v>7</v>
      </c>
      <c r="B9" s="4" t="s">
        <v>31</v>
      </c>
      <c r="C9" s="6">
        <v>1250000</v>
      </c>
      <c r="D9" s="6">
        <v>1424999</v>
      </c>
      <c r="E9" s="6">
        <f t="shared" si="0"/>
        <v>174999</v>
      </c>
    </row>
    <row r="10" spans="1:5" x14ac:dyDescent="0.25">
      <c r="A10" s="18">
        <v>8</v>
      </c>
      <c r="B10" s="4" t="s">
        <v>66</v>
      </c>
      <c r="C10" s="6">
        <v>1100000</v>
      </c>
      <c r="D10" s="6">
        <v>1187500</v>
      </c>
      <c r="E10" s="6">
        <f t="shared" si="0"/>
        <v>87500</v>
      </c>
    </row>
    <row r="11" spans="1:5" x14ac:dyDescent="0.25">
      <c r="A11" s="18">
        <v>9</v>
      </c>
      <c r="B11" s="4" t="s">
        <v>66</v>
      </c>
      <c r="C11" s="6">
        <v>1050000</v>
      </c>
      <c r="D11" s="6">
        <v>1187500</v>
      </c>
      <c r="E11" s="6">
        <f t="shared" si="0"/>
        <v>137500</v>
      </c>
    </row>
    <row r="12" spans="1:5" x14ac:dyDescent="0.25">
      <c r="A12" s="18">
        <v>10</v>
      </c>
      <c r="B12" s="4" t="s">
        <v>16</v>
      </c>
      <c r="C12" s="6">
        <v>1500000</v>
      </c>
      <c r="D12" s="6">
        <v>1687200</v>
      </c>
      <c r="E12" s="6">
        <f t="shared" si="0"/>
        <v>187200</v>
      </c>
    </row>
    <row r="13" spans="1:5" x14ac:dyDescent="0.25">
      <c r="A13" s="18">
        <v>11</v>
      </c>
      <c r="B13" s="4" t="s">
        <v>16</v>
      </c>
      <c r="C13" s="6">
        <v>1450000</v>
      </c>
      <c r="D13" s="6">
        <v>1688888</v>
      </c>
      <c r="E13" s="6">
        <f t="shared" si="0"/>
        <v>238888</v>
      </c>
    </row>
    <row r="14" spans="1:5" x14ac:dyDescent="0.25">
      <c r="A14" s="18">
        <v>12</v>
      </c>
      <c r="B14" s="4" t="s">
        <v>16</v>
      </c>
      <c r="C14" s="6">
        <v>1500000</v>
      </c>
      <c r="D14" s="6">
        <v>1638750</v>
      </c>
      <c r="E14" s="6">
        <f t="shared" si="0"/>
        <v>138750</v>
      </c>
    </row>
    <row r="15" spans="1:5" x14ac:dyDescent="0.25">
      <c r="A15" s="18">
        <v>13</v>
      </c>
      <c r="B15" s="4" t="s">
        <v>66</v>
      </c>
      <c r="C15" s="6">
        <v>140000</v>
      </c>
      <c r="D15" s="6">
        <v>1187500</v>
      </c>
      <c r="E15" s="6">
        <f t="shared" si="0"/>
        <v>1047500</v>
      </c>
    </row>
    <row r="16" spans="1:5" x14ac:dyDescent="0.25">
      <c r="A16" s="18">
        <v>14</v>
      </c>
      <c r="B16" s="4" t="s">
        <v>16</v>
      </c>
      <c r="C16" s="6">
        <v>1555555</v>
      </c>
      <c r="D16" s="6">
        <v>1638750</v>
      </c>
      <c r="E16" s="6">
        <f t="shared" si="0"/>
        <v>83195</v>
      </c>
    </row>
    <row r="17" spans="1:5" x14ac:dyDescent="0.25">
      <c r="A17" s="18">
        <v>15</v>
      </c>
      <c r="B17" s="4" t="s">
        <v>16</v>
      </c>
      <c r="C17" s="6">
        <v>1529000</v>
      </c>
      <c r="D17" s="6">
        <v>1638750</v>
      </c>
      <c r="E17" s="6">
        <f t="shared" si="0"/>
        <v>109750</v>
      </c>
    </row>
    <row r="18" spans="1:5" x14ac:dyDescent="0.25">
      <c r="A18" s="18">
        <v>16</v>
      </c>
      <c r="B18" s="4" t="s">
        <v>16</v>
      </c>
      <c r="C18" s="6">
        <v>1489000</v>
      </c>
      <c r="D18" s="6">
        <v>1638750</v>
      </c>
      <c r="E18" s="6">
        <f t="shared" si="0"/>
        <v>149750</v>
      </c>
    </row>
    <row r="19" spans="1:5" x14ac:dyDescent="0.25">
      <c r="A19" s="18">
        <v>17</v>
      </c>
      <c r="B19" s="4" t="s">
        <v>63</v>
      </c>
      <c r="C19" s="6">
        <v>55000</v>
      </c>
      <c r="D19" s="6">
        <v>339100</v>
      </c>
      <c r="E19" s="6">
        <f t="shared" si="0"/>
        <v>284100</v>
      </c>
    </row>
    <row r="20" spans="1:5" x14ac:dyDescent="0.25">
      <c r="A20" s="18">
        <v>18</v>
      </c>
      <c r="B20" s="4" t="s">
        <v>16</v>
      </c>
      <c r="C20" s="6">
        <v>1550000</v>
      </c>
      <c r="D20" s="6">
        <v>1662500</v>
      </c>
      <c r="E20" s="6">
        <f t="shared" si="0"/>
        <v>112500</v>
      </c>
    </row>
    <row r="21" spans="1:5" x14ac:dyDescent="0.25">
      <c r="A21" s="18">
        <v>19</v>
      </c>
      <c r="B21" s="4" t="s">
        <v>43</v>
      </c>
      <c r="C21" s="6">
        <v>1000000</v>
      </c>
      <c r="D21" s="6">
        <v>1216000</v>
      </c>
      <c r="E21" s="6">
        <f t="shared" si="0"/>
        <v>216000</v>
      </c>
    </row>
    <row r="22" spans="1:5" x14ac:dyDescent="0.25">
      <c r="A22" s="18">
        <v>20</v>
      </c>
      <c r="B22" s="4" t="s">
        <v>43</v>
      </c>
      <c r="C22" s="6">
        <v>1000000</v>
      </c>
      <c r="D22" s="6">
        <v>1216000</v>
      </c>
      <c r="E22" s="6">
        <f t="shared" si="0"/>
        <v>216000</v>
      </c>
    </row>
    <row r="23" spans="1:5" x14ac:dyDescent="0.25">
      <c r="A23" s="18">
        <v>21</v>
      </c>
      <c r="B23" s="4" t="s">
        <v>16</v>
      </c>
      <c r="C23" s="21">
        <v>1450000</v>
      </c>
      <c r="D23" s="21">
        <v>1695750</v>
      </c>
      <c r="E23" s="6">
        <f t="shared" si="0"/>
        <v>245750</v>
      </c>
    </row>
    <row r="24" spans="1:5" x14ac:dyDescent="0.25">
      <c r="A24" s="18">
        <v>22</v>
      </c>
      <c r="B24" s="4" t="s">
        <v>16</v>
      </c>
      <c r="C24" s="21">
        <v>1500000</v>
      </c>
      <c r="D24" s="21">
        <v>1710000</v>
      </c>
      <c r="E24" s="22">
        <f t="shared" si="0"/>
        <v>210000</v>
      </c>
    </row>
    <row r="25" spans="1:5" x14ac:dyDescent="0.25">
      <c r="A25" s="18">
        <v>23</v>
      </c>
      <c r="B25" s="4" t="s">
        <v>27</v>
      </c>
      <c r="C25" s="6">
        <v>3600000</v>
      </c>
      <c r="D25" s="6">
        <v>4009000</v>
      </c>
      <c r="E25" s="6">
        <f t="shared" si="0"/>
        <v>409000</v>
      </c>
    </row>
    <row r="26" spans="1:5" x14ac:dyDescent="0.25">
      <c r="A26" s="18">
        <v>24</v>
      </c>
      <c r="B26" s="4" t="s">
        <v>43</v>
      </c>
      <c r="C26" s="6">
        <v>1000000</v>
      </c>
      <c r="D26" s="6">
        <v>1216000</v>
      </c>
      <c r="E26" s="6">
        <f t="shared" si="0"/>
        <v>216000</v>
      </c>
    </row>
    <row r="27" spans="1:5" x14ac:dyDescent="0.25">
      <c r="A27" s="18">
        <v>25</v>
      </c>
      <c r="B27" s="4" t="s">
        <v>27</v>
      </c>
      <c r="C27" s="6">
        <v>3650000</v>
      </c>
      <c r="D27" s="6">
        <v>4056500</v>
      </c>
      <c r="E27" s="6">
        <f t="shared" si="0"/>
        <v>406500</v>
      </c>
    </row>
    <row r="28" spans="1:5" x14ac:dyDescent="0.25">
      <c r="A28" s="18">
        <v>26</v>
      </c>
      <c r="B28" s="4" t="s">
        <v>67</v>
      </c>
      <c r="C28" s="6">
        <v>425123</v>
      </c>
      <c r="D28" s="6">
        <v>551000</v>
      </c>
      <c r="E28" s="6">
        <f t="shared" si="0"/>
        <v>125877</v>
      </c>
    </row>
    <row r="29" spans="1:5" x14ac:dyDescent="0.25">
      <c r="A29" s="18">
        <v>27</v>
      </c>
      <c r="B29" s="4" t="s">
        <v>16</v>
      </c>
      <c r="C29" s="6">
        <v>1559999</v>
      </c>
      <c r="D29" s="6">
        <v>1672000</v>
      </c>
      <c r="E29" s="6">
        <f t="shared" si="0"/>
        <v>112001</v>
      </c>
    </row>
    <row r="30" spans="1:5" x14ac:dyDescent="0.25">
      <c r="A30" s="18">
        <v>28</v>
      </c>
      <c r="B30" s="4" t="s">
        <v>23</v>
      </c>
      <c r="C30" s="6">
        <v>2400000</v>
      </c>
      <c r="D30" s="6">
        <v>2660000</v>
      </c>
      <c r="E30" s="6">
        <f t="shared" si="0"/>
        <v>260000</v>
      </c>
    </row>
    <row r="31" spans="1:5" x14ac:dyDescent="0.25">
      <c r="A31" s="18">
        <v>29</v>
      </c>
      <c r="B31" s="4" t="s">
        <v>16</v>
      </c>
      <c r="C31" s="6">
        <v>1580000</v>
      </c>
      <c r="D31" s="6">
        <v>1672000</v>
      </c>
      <c r="E31" s="6">
        <f t="shared" si="0"/>
        <v>92000</v>
      </c>
    </row>
    <row r="32" spans="1:5" x14ac:dyDescent="0.25">
      <c r="A32" s="18">
        <v>30</v>
      </c>
      <c r="B32" s="4" t="s">
        <v>23</v>
      </c>
      <c r="C32" s="23">
        <v>2600000</v>
      </c>
      <c r="D32" s="6"/>
      <c r="E32" s="6">
        <f t="shared" si="0"/>
        <v>-2600000</v>
      </c>
    </row>
    <row r="33" spans="1:5" x14ac:dyDescent="0.25">
      <c r="A33" s="18">
        <v>31</v>
      </c>
      <c r="B33" s="4" t="s">
        <v>28</v>
      </c>
      <c r="C33" s="6">
        <v>900000</v>
      </c>
      <c r="D33" s="6">
        <v>1045000</v>
      </c>
      <c r="E33" s="6">
        <f t="shared" si="0"/>
        <v>145000</v>
      </c>
    </row>
    <row r="34" spans="1:5" x14ac:dyDescent="0.25">
      <c r="A34" s="18">
        <v>32</v>
      </c>
      <c r="B34" s="4" t="s">
        <v>16</v>
      </c>
      <c r="C34" s="6">
        <v>1500000</v>
      </c>
      <c r="D34" s="6">
        <v>1662500</v>
      </c>
      <c r="E34" s="6">
        <f t="shared" si="0"/>
        <v>162500</v>
      </c>
    </row>
    <row r="35" spans="1:5" x14ac:dyDescent="0.25">
      <c r="A35" s="18">
        <v>33</v>
      </c>
      <c r="B35" s="4" t="s">
        <v>27</v>
      </c>
      <c r="C35" s="6">
        <v>3600000</v>
      </c>
      <c r="D35" s="6">
        <v>3800000</v>
      </c>
      <c r="E35" s="6">
        <f t="shared" si="0"/>
        <v>200000</v>
      </c>
    </row>
    <row r="36" spans="1:5" x14ac:dyDescent="0.25">
      <c r="A36" s="18">
        <v>34</v>
      </c>
      <c r="B36" s="4" t="s">
        <v>16</v>
      </c>
      <c r="C36" s="6">
        <v>1550000</v>
      </c>
      <c r="D36" s="6">
        <v>1709998</v>
      </c>
      <c r="E36" s="6">
        <f t="shared" si="0"/>
        <v>159998</v>
      </c>
    </row>
    <row r="37" spans="1:5" x14ac:dyDescent="0.25">
      <c r="A37" s="18">
        <v>35</v>
      </c>
      <c r="B37" s="4" t="s">
        <v>43</v>
      </c>
      <c r="C37" s="6">
        <v>1000000</v>
      </c>
      <c r="D37" s="6">
        <v>1235000</v>
      </c>
      <c r="E37" s="6">
        <f t="shared" si="0"/>
        <v>235000</v>
      </c>
    </row>
    <row r="38" spans="1:5" x14ac:dyDescent="0.25">
      <c r="A38" s="18">
        <v>36</v>
      </c>
      <c r="B38" s="4" t="s">
        <v>23</v>
      </c>
      <c r="C38" s="6">
        <v>2300000</v>
      </c>
      <c r="D38" s="6">
        <v>2564999</v>
      </c>
      <c r="E38" s="6">
        <f t="shared" si="0"/>
        <v>264999</v>
      </c>
    </row>
    <row r="39" spans="1:5" x14ac:dyDescent="0.25">
      <c r="A39" s="18">
        <v>37</v>
      </c>
      <c r="B39" s="4" t="s">
        <v>43</v>
      </c>
      <c r="C39" s="6">
        <v>1000000</v>
      </c>
      <c r="D39" s="6">
        <v>1235000</v>
      </c>
      <c r="E39" s="6">
        <f t="shared" si="0"/>
        <v>235000</v>
      </c>
    </row>
    <row r="40" spans="1:5" x14ac:dyDescent="0.25">
      <c r="A40" s="18">
        <v>38</v>
      </c>
      <c r="B40" s="4" t="s">
        <v>16</v>
      </c>
      <c r="C40" s="6">
        <v>175999</v>
      </c>
      <c r="D40" s="6">
        <v>1709998</v>
      </c>
      <c r="E40" s="6">
        <f t="shared" si="0"/>
        <v>1533999</v>
      </c>
    </row>
    <row r="41" spans="1:5" x14ac:dyDescent="0.25">
      <c r="A41" s="18">
        <v>39</v>
      </c>
      <c r="B41" s="4" t="s">
        <v>19</v>
      </c>
      <c r="C41" s="6">
        <v>650000</v>
      </c>
      <c r="D41" s="6">
        <v>853944</v>
      </c>
      <c r="E41" s="6">
        <f t="shared" si="0"/>
        <v>203944</v>
      </c>
    </row>
    <row r="42" spans="1:5" x14ac:dyDescent="0.25">
      <c r="A42" s="18">
        <v>40</v>
      </c>
      <c r="B42" s="4" t="s">
        <v>23</v>
      </c>
      <c r="C42" s="6">
        <v>2444444</v>
      </c>
      <c r="D42" s="6"/>
      <c r="E42" s="6">
        <f t="shared" si="0"/>
        <v>-2444444</v>
      </c>
    </row>
    <row r="43" spans="1:5" x14ac:dyDescent="0.25">
      <c r="A43" s="18">
        <v>41</v>
      </c>
      <c r="B43" s="4" t="s">
        <v>13</v>
      </c>
      <c r="C43" s="6">
        <v>3600000</v>
      </c>
      <c r="D43" s="6">
        <v>3794720</v>
      </c>
      <c r="E43" s="6">
        <f t="shared" si="0"/>
        <v>194720</v>
      </c>
    </row>
    <row r="44" spans="1:5" x14ac:dyDescent="0.25">
      <c r="A44" s="18">
        <v>42</v>
      </c>
      <c r="B44" s="4" t="s">
        <v>13</v>
      </c>
      <c r="C44" s="21">
        <v>3600000</v>
      </c>
      <c r="D44" s="21">
        <v>3794617</v>
      </c>
      <c r="E44" s="6">
        <f t="shared" si="0"/>
        <v>194617</v>
      </c>
    </row>
    <row r="45" spans="1:5" x14ac:dyDescent="0.25">
      <c r="A45" s="18">
        <v>43</v>
      </c>
      <c r="B45" s="4" t="s">
        <v>23</v>
      </c>
      <c r="C45" s="21">
        <v>2399999</v>
      </c>
      <c r="D45" s="9"/>
      <c r="E45" s="22">
        <f t="shared" si="0"/>
        <v>-2399999</v>
      </c>
    </row>
    <row r="46" spans="1:5" x14ac:dyDescent="0.25">
      <c r="A46" s="18">
        <v>44</v>
      </c>
      <c r="B46" s="4" t="s">
        <v>16</v>
      </c>
      <c r="C46" s="6">
        <v>1500000</v>
      </c>
      <c r="D46" s="6">
        <v>1709999</v>
      </c>
      <c r="E46" s="22">
        <f t="shared" si="0"/>
        <v>209999</v>
      </c>
    </row>
    <row r="47" spans="1:5" x14ac:dyDescent="0.25">
      <c r="A47" s="18">
        <v>45</v>
      </c>
      <c r="B47" s="4" t="s">
        <v>16</v>
      </c>
      <c r="C47" s="6">
        <v>1499999</v>
      </c>
      <c r="D47" s="6">
        <v>1709999</v>
      </c>
      <c r="E47" s="6">
        <f t="shared" si="0"/>
        <v>210000</v>
      </c>
    </row>
    <row r="48" spans="1:5" x14ac:dyDescent="0.25">
      <c r="A48" s="18">
        <v>46</v>
      </c>
      <c r="B48" s="4" t="s">
        <v>43</v>
      </c>
      <c r="C48" s="6">
        <v>1000000</v>
      </c>
      <c r="D48" s="6">
        <v>1130500</v>
      </c>
      <c r="E48" s="6">
        <f t="shared" si="0"/>
        <v>130500</v>
      </c>
    </row>
    <row r="49" spans="1:5" x14ac:dyDescent="0.25">
      <c r="A49" s="18">
        <v>47</v>
      </c>
      <c r="B49" s="18" t="s">
        <v>76</v>
      </c>
      <c r="C49" s="6">
        <v>1254000</v>
      </c>
      <c r="D49" s="6">
        <v>2572500</v>
      </c>
      <c r="E49" s="6">
        <f t="shared" si="0"/>
        <v>1318500</v>
      </c>
    </row>
    <row r="50" spans="1:5" x14ac:dyDescent="0.25">
      <c r="A50" s="18">
        <v>48</v>
      </c>
      <c r="B50" s="4" t="s">
        <v>23</v>
      </c>
      <c r="C50" s="6">
        <v>2400000</v>
      </c>
      <c r="D50" s="6"/>
      <c r="E50" s="6">
        <f t="shared" si="0"/>
        <v>-2400000</v>
      </c>
    </row>
    <row r="51" spans="1:5" x14ac:dyDescent="0.25">
      <c r="A51" s="18">
        <v>49</v>
      </c>
      <c r="B51" s="4" t="s">
        <v>23</v>
      </c>
      <c r="C51" s="6">
        <v>2360000</v>
      </c>
      <c r="D51" s="6"/>
      <c r="E51" s="6">
        <f t="shared" si="0"/>
        <v>-2360000</v>
      </c>
    </row>
    <row r="52" spans="1:5" x14ac:dyDescent="0.25">
      <c r="A52" s="18">
        <v>50</v>
      </c>
      <c r="B52" s="4" t="s">
        <v>23</v>
      </c>
      <c r="C52" s="6">
        <v>2400000</v>
      </c>
      <c r="D52" s="6"/>
      <c r="E52" s="6">
        <f t="shared" si="0"/>
        <v>-2400000</v>
      </c>
    </row>
    <row r="53" spans="1:5" x14ac:dyDescent="0.25">
      <c r="A53" s="18">
        <v>51</v>
      </c>
      <c r="B53" s="4" t="s">
        <v>23</v>
      </c>
      <c r="C53" s="6">
        <v>2399999</v>
      </c>
      <c r="D53" s="6"/>
      <c r="E53" s="6">
        <f t="shared" si="0"/>
        <v>-2399999</v>
      </c>
    </row>
    <row r="54" spans="1:5" x14ac:dyDescent="0.25">
      <c r="A54" s="18">
        <v>52</v>
      </c>
      <c r="B54" s="4" t="s">
        <v>23</v>
      </c>
      <c r="C54" s="6">
        <v>2350000</v>
      </c>
      <c r="D54" s="6"/>
      <c r="E54" s="6">
        <f t="shared" si="0"/>
        <v>-2350000</v>
      </c>
    </row>
    <row r="55" spans="1:5" x14ac:dyDescent="0.25">
      <c r="A55" s="18">
        <v>53</v>
      </c>
      <c r="B55" s="4" t="s">
        <v>23</v>
      </c>
      <c r="C55" s="6">
        <v>2400000</v>
      </c>
      <c r="D55" s="6"/>
      <c r="E55" s="6">
        <f t="shared" si="0"/>
        <v>-2400000</v>
      </c>
    </row>
    <row r="56" spans="1:5" x14ac:dyDescent="0.25">
      <c r="A56" s="18">
        <v>54</v>
      </c>
      <c r="B56" s="4" t="s">
        <v>43</v>
      </c>
      <c r="C56" s="6">
        <v>1000000</v>
      </c>
      <c r="D56" s="6">
        <v>1187500</v>
      </c>
      <c r="E56" s="6">
        <f t="shared" si="0"/>
        <v>187500</v>
      </c>
    </row>
    <row r="57" spans="1:5" x14ac:dyDescent="0.25">
      <c r="A57" s="18">
        <v>55</v>
      </c>
      <c r="B57" s="4" t="s">
        <v>43</v>
      </c>
      <c r="C57" s="6">
        <v>1000000</v>
      </c>
      <c r="D57" s="6">
        <v>1187500</v>
      </c>
      <c r="E57" s="6">
        <f t="shared" si="0"/>
        <v>187500</v>
      </c>
    </row>
    <row r="58" spans="1:5" x14ac:dyDescent="0.25">
      <c r="A58" s="18">
        <v>56</v>
      </c>
      <c r="B58" s="4" t="s">
        <v>23</v>
      </c>
      <c r="C58" s="6">
        <v>2100000</v>
      </c>
      <c r="D58" s="6">
        <v>2265750</v>
      </c>
      <c r="E58" s="6">
        <f t="shared" si="0"/>
        <v>165750</v>
      </c>
    </row>
    <row r="59" spans="1:5" x14ac:dyDescent="0.25">
      <c r="A59" s="18">
        <v>57</v>
      </c>
      <c r="B59" s="4" t="s">
        <v>23</v>
      </c>
      <c r="C59" s="6">
        <v>2200000</v>
      </c>
      <c r="D59" s="6">
        <v>2260050</v>
      </c>
      <c r="E59" s="6">
        <f t="shared" si="0"/>
        <v>60050</v>
      </c>
    </row>
    <row r="60" spans="1:5" x14ac:dyDescent="0.25">
      <c r="A60" s="18">
        <v>58</v>
      </c>
      <c r="B60" s="4" t="s">
        <v>13</v>
      </c>
      <c r="C60" s="6">
        <v>3599999</v>
      </c>
      <c r="D60" s="6">
        <v>3781000</v>
      </c>
      <c r="E60" s="6">
        <f t="shared" si="0"/>
        <v>181001</v>
      </c>
    </row>
    <row r="61" spans="1:5" x14ac:dyDescent="0.25">
      <c r="A61" s="18">
        <v>59</v>
      </c>
      <c r="B61" s="4" t="s">
        <v>23</v>
      </c>
      <c r="C61" s="6">
        <v>2300000</v>
      </c>
      <c r="D61" s="6"/>
      <c r="E61" s="6">
        <f t="shared" si="0"/>
        <v>-2300000</v>
      </c>
    </row>
    <row r="62" spans="1:5" x14ac:dyDescent="0.25">
      <c r="A62" s="18">
        <v>60</v>
      </c>
      <c r="B62" s="4" t="s">
        <v>43</v>
      </c>
      <c r="C62" s="6">
        <v>950000</v>
      </c>
      <c r="D62" s="6">
        <v>1234999</v>
      </c>
      <c r="E62" s="6">
        <f t="shared" si="0"/>
        <v>284999</v>
      </c>
    </row>
    <row r="63" spans="1:5" x14ac:dyDescent="0.25">
      <c r="A63" s="18">
        <v>61</v>
      </c>
      <c r="B63" s="4" t="s">
        <v>27</v>
      </c>
      <c r="C63" s="6">
        <v>3700000</v>
      </c>
      <c r="D63" s="6">
        <v>3799999</v>
      </c>
      <c r="E63" s="6">
        <f t="shared" si="0"/>
        <v>99999</v>
      </c>
    </row>
    <row r="64" spans="1:5" x14ac:dyDescent="0.25">
      <c r="A64" s="18">
        <v>62</v>
      </c>
      <c r="B64" s="4" t="s">
        <v>77</v>
      </c>
      <c r="C64" s="6">
        <v>1100000</v>
      </c>
      <c r="D64" s="6">
        <v>1268895</v>
      </c>
      <c r="E64" s="6">
        <f t="shared" si="0"/>
        <v>168895</v>
      </c>
    </row>
    <row r="65" spans="1:5" x14ac:dyDescent="0.25">
      <c r="A65" s="18">
        <v>63</v>
      </c>
      <c r="B65" s="4" t="s">
        <v>23</v>
      </c>
      <c r="C65" s="6">
        <v>2350000</v>
      </c>
      <c r="D65" s="6"/>
      <c r="E65" s="6">
        <f t="shared" si="0"/>
        <v>-2350000</v>
      </c>
    </row>
    <row r="66" spans="1:5" x14ac:dyDescent="0.25">
      <c r="A66" s="18">
        <v>64</v>
      </c>
      <c r="B66" s="4" t="s">
        <v>23</v>
      </c>
      <c r="C66" s="6">
        <v>2250000</v>
      </c>
      <c r="D66" s="6">
        <v>2270449</v>
      </c>
      <c r="E66" s="6">
        <f t="shared" si="0"/>
        <v>20449</v>
      </c>
    </row>
    <row r="67" spans="1:5" x14ac:dyDescent="0.25">
      <c r="A67" s="18">
        <v>65</v>
      </c>
      <c r="B67" s="4" t="s">
        <v>5</v>
      </c>
      <c r="C67" s="6">
        <v>5800000</v>
      </c>
      <c r="D67" s="6">
        <v>6080000</v>
      </c>
      <c r="E67" s="6">
        <f t="shared" ref="E67:E72" si="1">D67-C67</f>
        <v>280000</v>
      </c>
    </row>
    <row r="68" spans="1:5" x14ac:dyDescent="0.25">
      <c r="A68" s="18">
        <v>66</v>
      </c>
      <c r="B68" s="4" t="s">
        <v>26</v>
      </c>
      <c r="C68" s="6">
        <v>2005000</v>
      </c>
      <c r="D68" s="6">
        <v>2128000</v>
      </c>
      <c r="E68" s="6">
        <f t="shared" si="1"/>
        <v>123000</v>
      </c>
    </row>
    <row r="69" spans="1:5" x14ac:dyDescent="0.25">
      <c r="A69" s="18">
        <v>67</v>
      </c>
      <c r="B69" s="4" t="s">
        <v>31</v>
      </c>
      <c r="C69" s="6">
        <v>1350000</v>
      </c>
      <c r="D69" s="6">
        <v>1566550</v>
      </c>
      <c r="E69" s="6">
        <f t="shared" si="1"/>
        <v>216550</v>
      </c>
    </row>
    <row r="70" spans="1:5" x14ac:dyDescent="0.25">
      <c r="A70" s="18">
        <v>68</v>
      </c>
      <c r="B70" s="4" t="s">
        <v>31</v>
      </c>
      <c r="C70" s="6">
        <v>1350000</v>
      </c>
      <c r="D70" s="6">
        <v>1566550</v>
      </c>
      <c r="E70" s="6">
        <f t="shared" si="1"/>
        <v>216550</v>
      </c>
    </row>
    <row r="71" spans="1:5" x14ac:dyDescent="0.25">
      <c r="A71" s="18">
        <v>69</v>
      </c>
      <c r="B71" s="4" t="s">
        <v>78</v>
      </c>
      <c r="C71" s="6">
        <v>100000</v>
      </c>
      <c r="D71" s="6">
        <v>190000</v>
      </c>
      <c r="E71" s="6">
        <f t="shared" si="1"/>
        <v>90000</v>
      </c>
    </row>
    <row r="72" spans="1:5" x14ac:dyDescent="0.25">
      <c r="A72" s="18">
        <v>70</v>
      </c>
      <c r="B72" s="10" t="s">
        <v>34</v>
      </c>
      <c r="C72" s="6">
        <v>4600000</v>
      </c>
      <c r="D72" s="6">
        <v>4750000</v>
      </c>
      <c r="E72" s="6">
        <f t="shared" si="1"/>
        <v>150000</v>
      </c>
    </row>
    <row r="73" spans="1:5" x14ac:dyDescent="0.25">
      <c r="A73" s="89" t="s">
        <v>8</v>
      </c>
      <c r="B73" s="89"/>
      <c r="C73" s="89"/>
      <c r="D73" s="89"/>
      <c r="E73" s="8">
        <v>406945</v>
      </c>
    </row>
    <row r="74" spans="1:5" x14ac:dyDescent="0.25">
      <c r="A74" s="89" t="s">
        <v>9</v>
      </c>
      <c r="B74" s="89"/>
      <c r="C74" s="89"/>
      <c r="D74" s="89"/>
      <c r="E74" s="8">
        <f>SUM(E3:E72)-E73</f>
        <v>-12930607</v>
      </c>
    </row>
    <row r="75" spans="1:5" x14ac:dyDescent="0.25">
      <c r="C75" s="6"/>
      <c r="D75" s="6"/>
      <c r="E75" s="6"/>
    </row>
    <row r="76" spans="1:5" x14ac:dyDescent="0.25">
      <c r="C76" s="6"/>
      <c r="D76" s="6"/>
      <c r="E76" s="6"/>
    </row>
    <row r="77" spans="1:5" x14ac:dyDescent="0.25">
      <c r="C77" s="6"/>
      <c r="D77" s="6"/>
      <c r="E77" s="6"/>
    </row>
    <row r="78" spans="1:5" x14ac:dyDescent="0.25">
      <c r="C78" s="6"/>
      <c r="D78" s="6"/>
      <c r="E78" s="6"/>
    </row>
    <row r="79" spans="1:5" x14ac:dyDescent="0.25">
      <c r="C79" s="6"/>
      <c r="D79" s="6"/>
      <c r="E79" s="6"/>
    </row>
    <row r="80" spans="1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74" xr:uid="{21EBACB5-E461-449C-8847-AAB337A15B65}"/>
  <mergeCells count="5">
    <mergeCell ref="B163:D163"/>
    <mergeCell ref="A2:E2"/>
    <mergeCell ref="B162:D162"/>
    <mergeCell ref="A73:D73"/>
    <mergeCell ref="A74:D74"/>
  </mergeCells>
  <conditionalFormatting sqref="E1">
    <cfRule type="cellIs" dxfId="34" priority="5" operator="lessThan">
      <formula>0</formula>
    </cfRule>
  </conditionalFormatting>
  <conditionalFormatting sqref="E3:E117">
    <cfRule type="cellIs" dxfId="33" priority="1" operator="lessThan">
      <formula>0</formula>
    </cfRule>
  </conditionalFormatting>
  <conditionalFormatting sqref="E119:E163">
    <cfRule type="cellIs" dxfId="32" priority="4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145D-FABD-431A-BFAB-6DCC59B8F332}">
  <dimension ref="A1:E163"/>
  <sheetViews>
    <sheetView zoomScale="145" zoomScaleNormal="145" workbookViewId="0">
      <pane ySplit="1" topLeftCell="A2" activePane="bottomLeft" state="frozen"/>
      <selection pane="bottomLeft" activeCell="E8" sqref="E8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19" style="4" bestFit="1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14" t="s">
        <v>0</v>
      </c>
      <c r="B1" s="14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46041</v>
      </c>
      <c r="B2" s="88"/>
      <c r="C2" s="88"/>
      <c r="D2" s="88"/>
      <c r="E2" s="88"/>
    </row>
    <row r="3" spans="1:5" x14ac:dyDescent="0.25">
      <c r="A3" s="4">
        <v>1</v>
      </c>
      <c r="B3" s="4" t="s">
        <v>16</v>
      </c>
      <c r="C3" s="6">
        <v>1599999</v>
      </c>
      <c r="D3" s="6">
        <v>1805000</v>
      </c>
      <c r="E3" s="6">
        <f t="shared" ref="E3:E22" si="0">D3-C3</f>
        <v>205001</v>
      </c>
    </row>
    <row r="4" spans="1:5" x14ac:dyDescent="0.25">
      <c r="A4" s="4">
        <v>2</v>
      </c>
      <c r="B4" s="4" t="s">
        <v>73</v>
      </c>
      <c r="C4" s="6">
        <v>12400000</v>
      </c>
      <c r="D4" s="6">
        <v>18221000</v>
      </c>
      <c r="E4" s="6">
        <f t="shared" si="0"/>
        <v>5821000</v>
      </c>
    </row>
    <row r="5" spans="1:5" x14ac:dyDescent="0.25">
      <c r="A5" s="4">
        <v>3</v>
      </c>
      <c r="B5" s="4" t="s">
        <v>33</v>
      </c>
      <c r="C5" s="6">
        <v>2050000</v>
      </c>
      <c r="D5" s="6">
        <v>2185000</v>
      </c>
      <c r="E5" s="6">
        <f t="shared" si="0"/>
        <v>135000</v>
      </c>
    </row>
    <row r="6" spans="1:5" x14ac:dyDescent="0.25">
      <c r="A6" s="18">
        <v>4</v>
      </c>
      <c r="B6" s="4" t="s">
        <v>23</v>
      </c>
      <c r="C6" s="6">
        <v>2000000</v>
      </c>
      <c r="D6" s="6">
        <v>2185000</v>
      </c>
      <c r="E6" s="6">
        <f t="shared" si="0"/>
        <v>185000</v>
      </c>
    </row>
    <row r="7" spans="1:5" x14ac:dyDescent="0.25">
      <c r="A7" s="18">
        <v>5</v>
      </c>
      <c r="B7" s="4" t="s">
        <v>12</v>
      </c>
      <c r="C7" s="6">
        <v>400</v>
      </c>
      <c r="D7" s="6">
        <v>380000</v>
      </c>
      <c r="E7" s="6">
        <f t="shared" si="0"/>
        <v>379600</v>
      </c>
    </row>
    <row r="8" spans="1:5" x14ac:dyDescent="0.25">
      <c r="A8" s="18">
        <v>6</v>
      </c>
      <c r="B8" s="4" t="s">
        <v>59</v>
      </c>
      <c r="C8" s="6">
        <v>1050000</v>
      </c>
      <c r="D8" s="6">
        <v>1076664</v>
      </c>
      <c r="E8" s="6">
        <f t="shared" si="0"/>
        <v>26664</v>
      </c>
    </row>
    <row r="9" spans="1:5" x14ac:dyDescent="0.25">
      <c r="A9" s="18">
        <v>7</v>
      </c>
      <c r="B9" s="4" t="s">
        <v>23</v>
      </c>
      <c r="C9" s="6">
        <v>2000000</v>
      </c>
      <c r="D9" s="6">
        <v>2270500</v>
      </c>
      <c r="E9" s="6">
        <f t="shared" si="0"/>
        <v>270500</v>
      </c>
    </row>
    <row r="10" spans="1:5" x14ac:dyDescent="0.25">
      <c r="A10" s="18">
        <v>8</v>
      </c>
      <c r="B10" s="4" t="s">
        <v>66</v>
      </c>
      <c r="C10" s="6">
        <v>1250000</v>
      </c>
      <c r="D10" s="6">
        <v>1377500</v>
      </c>
      <c r="E10" s="6">
        <f t="shared" si="0"/>
        <v>127500</v>
      </c>
    </row>
    <row r="11" spans="1:5" x14ac:dyDescent="0.25">
      <c r="A11" s="18">
        <v>9</v>
      </c>
      <c r="B11" s="4" t="s">
        <v>53</v>
      </c>
      <c r="C11" s="6">
        <v>550000</v>
      </c>
      <c r="D11" s="6">
        <v>760000</v>
      </c>
      <c r="E11" s="6">
        <f t="shared" si="0"/>
        <v>210000</v>
      </c>
    </row>
    <row r="12" spans="1:5" x14ac:dyDescent="0.25">
      <c r="A12" s="18">
        <v>10</v>
      </c>
      <c r="B12" s="4" t="s">
        <v>29</v>
      </c>
      <c r="C12" s="6">
        <v>750000</v>
      </c>
      <c r="D12" s="6">
        <v>855000</v>
      </c>
      <c r="E12" s="6">
        <f t="shared" si="0"/>
        <v>105000</v>
      </c>
    </row>
    <row r="13" spans="1:5" x14ac:dyDescent="0.25">
      <c r="A13" s="18">
        <v>11</v>
      </c>
      <c r="B13" s="4" t="s">
        <v>23</v>
      </c>
      <c r="C13" s="6">
        <v>2000000</v>
      </c>
      <c r="D13" s="6">
        <v>2270500</v>
      </c>
      <c r="E13" s="6">
        <f t="shared" si="0"/>
        <v>270500</v>
      </c>
    </row>
    <row r="14" spans="1:5" x14ac:dyDescent="0.25">
      <c r="A14" s="18">
        <v>12</v>
      </c>
      <c r="B14" s="4" t="s">
        <v>26</v>
      </c>
      <c r="C14" s="6">
        <v>1850000</v>
      </c>
      <c r="D14" s="6">
        <v>1957000</v>
      </c>
      <c r="E14" s="6">
        <f t="shared" si="0"/>
        <v>107000</v>
      </c>
    </row>
    <row r="15" spans="1:5" x14ac:dyDescent="0.25">
      <c r="A15" s="18">
        <v>13</v>
      </c>
      <c r="B15" s="4" t="s">
        <v>74</v>
      </c>
      <c r="C15" s="6">
        <v>190000</v>
      </c>
      <c r="D15" s="6">
        <v>270400</v>
      </c>
      <c r="E15" s="6">
        <f t="shared" si="0"/>
        <v>80400</v>
      </c>
    </row>
    <row r="16" spans="1:5" x14ac:dyDescent="0.25">
      <c r="A16" s="18">
        <v>14</v>
      </c>
      <c r="B16" s="4" t="s">
        <v>16</v>
      </c>
      <c r="C16" s="6">
        <v>1600000</v>
      </c>
      <c r="D16" s="6">
        <v>1757500</v>
      </c>
      <c r="E16" s="6">
        <f t="shared" si="0"/>
        <v>157500</v>
      </c>
    </row>
    <row r="17" spans="1:5" x14ac:dyDescent="0.25">
      <c r="A17" s="18">
        <v>15</v>
      </c>
      <c r="B17" s="4" t="s">
        <v>16</v>
      </c>
      <c r="C17" s="6">
        <v>1550000</v>
      </c>
      <c r="D17" s="6">
        <v>1757500</v>
      </c>
      <c r="E17" s="6">
        <f t="shared" si="0"/>
        <v>207500</v>
      </c>
    </row>
    <row r="18" spans="1:5" x14ac:dyDescent="0.25">
      <c r="A18" s="18">
        <v>16</v>
      </c>
      <c r="B18" s="4" t="s">
        <v>16</v>
      </c>
      <c r="C18" s="6">
        <v>1600000</v>
      </c>
      <c r="D18" s="6">
        <v>1710000</v>
      </c>
      <c r="E18" s="6">
        <f t="shared" si="0"/>
        <v>110000</v>
      </c>
    </row>
    <row r="19" spans="1:5" x14ac:dyDescent="0.25">
      <c r="A19" s="18">
        <v>17</v>
      </c>
      <c r="B19" s="4" t="s">
        <v>16</v>
      </c>
      <c r="C19" s="6">
        <v>1600000</v>
      </c>
      <c r="D19" s="6">
        <v>1710000</v>
      </c>
      <c r="E19" s="6">
        <f t="shared" si="0"/>
        <v>110000</v>
      </c>
    </row>
    <row r="20" spans="1:5" x14ac:dyDescent="0.25">
      <c r="A20" s="18">
        <v>18</v>
      </c>
      <c r="B20" s="4" t="s">
        <v>16</v>
      </c>
      <c r="C20" s="6">
        <v>1550000</v>
      </c>
      <c r="D20" s="6">
        <v>1757500</v>
      </c>
      <c r="E20" s="6">
        <f t="shared" si="0"/>
        <v>207500</v>
      </c>
    </row>
    <row r="21" spans="1:5" x14ac:dyDescent="0.25">
      <c r="A21" s="18">
        <v>19</v>
      </c>
      <c r="B21" s="4" t="s">
        <v>35</v>
      </c>
      <c r="C21" s="6">
        <v>1200000</v>
      </c>
      <c r="D21" s="6">
        <v>1419300</v>
      </c>
      <c r="E21" s="6">
        <f t="shared" si="0"/>
        <v>219300</v>
      </c>
    </row>
    <row r="22" spans="1:5" x14ac:dyDescent="0.25">
      <c r="A22" s="18">
        <v>20</v>
      </c>
      <c r="B22" s="4" t="s">
        <v>34</v>
      </c>
      <c r="C22" s="6">
        <v>4700000</v>
      </c>
      <c r="D22" s="6">
        <v>4845000</v>
      </c>
      <c r="E22" s="6">
        <f t="shared" si="0"/>
        <v>145000</v>
      </c>
    </row>
    <row r="23" spans="1:5" x14ac:dyDescent="0.25">
      <c r="A23" s="89" t="s">
        <v>8</v>
      </c>
      <c r="B23" s="89"/>
      <c r="C23" s="89"/>
      <c r="D23" s="89"/>
      <c r="E23" s="8">
        <v>59999</v>
      </c>
    </row>
    <row r="24" spans="1:5" x14ac:dyDescent="0.25">
      <c r="A24" s="89" t="s">
        <v>9</v>
      </c>
      <c r="B24" s="89"/>
      <c r="C24" s="89"/>
      <c r="D24" s="89"/>
      <c r="E24" s="8">
        <f>SUM(E3:E22)-E23</f>
        <v>9019966</v>
      </c>
    </row>
    <row r="25" spans="1:5" x14ac:dyDescent="0.25">
      <c r="C25" s="6"/>
      <c r="D25" s="6"/>
      <c r="E25" s="6"/>
    </row>
    <row r="26" spans="1:5" x14ac:dyDescent="0.25">
      <c r="C26" s="6"/>
      <c r="D26" s="6"/>
      <c r="E26" s="6"/>
    </row>
    <row r="27" spans="1:5" x14ac:dyDescent="0.25">
      <c r="C27" s="6"/>
      <c r="D27" s="6"/>
      <c r="E27" s="6"/>
    </row>
    <row r="28" spans="1:5" x14ac:dyDescent="0.25">
      <c r="C28" s="6"/>
      <c r="D28" s="6"/>
      <c r="E28" s="6"/>
    </row>
    <row r="29" spans="1:5" x14ac:dyDescent="0.25">
      <c r="C29" s="6"/>
      <c r="D29" s="6"/>
      <c r="E29" s="6"/>
    </row>
    <row r="30" spans="1:5" x14ac:dyDescent="0.25">
      <c r="C30" s="6"/>
      <c r="D30" s="6"/>
      <c r="E30" s="6"/>
    </row>
    <row r="31" spans="1:5" x14ac:dyDescent="0.25">
      <c r="C31" s="6"/>
      <c r="D31" s="6"/>
      <c r="E31" s="6"/>
    </row>
    <row r="32" spans="1:5" x14ac:dyDescent="0.25">
      <c r="C32" s="6"/>
      <c r="D32" s="6"/>
      <c r="E32" s="6"/>
    </row>
    <row r="33" spans="2:5" x14ac:dyDescent="0.25">
      <c r="C33" s="6"/>
      <c r="D33" s="6"/>
      <c r="E33" s="6"/>
    </row>
    <row r="34" spans="2:5" x14ac:dyDescent="0.25">
      <c r="C34" s="6"/>
      <c r="D34" s="6"/>
      <c r="E34" s="6"/>
    </row>
    <row r="35" spans="2:5" x14ac:dyDescent="0.25">
      <c r="C35" s="6"/>
      <c r="D35" s="6"/>
      <c r="E35" s="6"/>
    </row>
    <row r="36" spans="2:5" x14ac:dyDescent="0.25">
      <c r="C36" s="6"/>
      <c r="D36" s="6"/>
      <c r="E36" s="6"/>
    </row>
    <row r="37" spans="2:5" x14ac:dyDescent="0.25">
      <c r="C37" s="6"/>
      <c r="D37" s="6"/>
      <c r="E37" s="6"/>
    </row>
    <row r="38" spans="2:5" x14ac:dyDescent="0.25">
      <c r="C38" s="6"/>
      <c r="D38" s="6"/>
      <c r="E38" s="6"/>
    </row>
    <row r="39" spans="2:5" x14ac:dyDescent="0.25">
      <c r="C39" s="6"/>
      <c r="D39" s="6"/>
      <c r="E39" s="6"/>
    </row>
    <row r="40" spans="2:5" x14ac:dyDescent="0.25">
      <c r="C40" s="6"/>
      <c r="D40" s="6"/>
      <c r="E40" s="6"/>
    </row>
    <row r="41" spans="2:5" x14ac:dyDescent="0.25">
      <c r="C41" s="6"/>
      <c r="D41" s="6"/>
      <c r="E41" s="6"/>
    </row>
    <row r="42" spans="2:5" x14ac:dyDescent="0.25">
      <c r="C42" s="6"/>
      <c r="D42" s="6"/>
      <c r="E42" s="6"/>
    </row>
    <row r="43" spans="2:5" x14ac:dyDescent="0.25">
      <c r="C43" s="6"/>
      <c r="D43" s="6"/>
      <c r="E43" s="6"/>
    </row>
    <row r="44" spans="2:5" x14ac:dyDescent="0.25">
      <c r="B44" s="89"/>
      <c r="C44" s="89"/>
      <c r="D44" s="89"/>
      <c r="E44" s="8"/>
    </row>
    <row r="45" spans="2:5" x14ac:dyDescent="0.25">
      <c r="B45" s="89"/>
      <c r="C45" s="89"/>
      <c r="D45" s="89"/>
      <c r="E45" s="8"/>
    </row>
    <row r="46" spans="2:5" x14ac:dyDescent="0.25">
      <c r="C46" s="6"/>
      <c r="D46" s="6"/>
      <c r="E46" s="6"/>
    </row>
    <row r="47" spans="2:5" x14ac:dyDescent="0.25">
      <c r="C47" s="6"/>
      <c r="D47" s="6"/>
      <c r="E47" s="6"/>
    </row>
    <row r="48" spans="2:5" x14ac:dyDescent="0.25">
      <c r="C48" s="6"/>
      <c r="D48" s="6"/>
      <c r="E48" s="6"/>
    </row>
    <row r="49" spans="3:5" x14ac:dyDescent="0.25">
      <c r="C49" s="6"/>
      <c r="D49" s="6"/>
      <c r="E49" s="6"/>
    </row>
    <row r="50" spans="3:5" x14ac:dyDescent="0.25">
      <c r="C50" s="6"/>
      <c r="D50" s="6"/>
      <c r="E50" s="6"/>
    </row>
    <row r="51" spans="3:5" x14ac:dyDescent="0.25">
      <c r="C51" s="6"/>
      <c r="D51" s="6"/>
      <c r="E51" s="6"/>
    </row>
    <row r="52" spans="3:5" x14ac:dyDescent="0.25">
      <c r="C52" s="6"/>
      <c r="D52" s="6"/>
      <c r="E52" s="6"/>
    </row>
    <row r="53" spans="3:5" x14ac:dyDescent="0.25">
      <c r="C53" s="6"/>
      <c r="D53" s="6"/>
      <c r="E53" s="6"/>
    </row>
    <row r="54" spans="3:5" x14ac:dyDescent="0.25">
      <c r="C54" s="6"/>
      <c r="D54" s="6"/>
      <c r="E54" s="6"/>
    </row>
    <row r="55" spans="3:5" x14ac:dyDescent="0.25">
      <c r="C55" s="6"/>
      <c r="D55" s="6"/>
      <c r="E55" s="6"/>
    </row>
    <row r="56" spans="3:5" x14ac:dyDescent="0.25">
      <c r="C56" s="6"/>
      <c r="D56" s="6"/>
      <c r="E56" s="6"/>
    </row>
    <row r="57" spans="3:5" x14ac:dyDescent="0.25">
      <c r="C57" s="6"/>
      <c r="D57" s="6"/>
      <c r="E57" s="6"/>
    </row>
    <row r="58" spans="3:5" x14ac:dyDescent="0.25">
      <c r="C58" s="6"/>
      <c r="D58" s="6"/>
      <c r="E58" s="6"/>
    </row>
    <row r="59" spans="3:5" x14ac:dyDescent="0.25">
      <c r="C59" s="6"/>
      <c r="D59" s="6"/>
      <c r="E59" s="6"/>
    </row>
    <row r="60" spans="3:5" x14ac:dyDescent="0.25">
      <c r="C60" s="6"/>
      <c r="D60" s="6"/>
      <c r="E60" s="6"/>
    </row>
    <row r="61" spans="3:5" x14ac:dyDescent="0.25">
      <c r="C61" s="6"/>
      <c r="D61" s="6"/>
      <c r="E61" s="6"/>
    </row>
    <row r="62" spans="3:5" x14ac:dyDescent="0.25">
      <c r="C62" s="6"/>
      <c r="D62" s="6"/>
      <c r="E62" s="6"/>
    </row>
    <row r="63" spans="3:5" x14ac:dyDescent="0.25">
      <c r="C63" s="6"/>
      <c r="D63" s="6"/>
      <c r="E63" s="6"/>
    </row>
    <row r="64" spans="3:5" x14ac:dyDescent="0.25">
      <c r="C64" s="6"/>
      <c r="D64" s="6"/>
      <c r="E64" s="6"/>
    </row>
    <row r="65" spans="2:5" x14ac:dyDescent="0.25">
      <c r="C65" s="6"/>
      <c r="D65" s="6"/>
      <c r="E65" s="6"/>
    </row>
    <row r="66" spans="2:5" x14ac:dyDescent="0.25">
      <c r="C66" s="6"/>
      <c r="D66" s="6"/>
      <c r="E66" s="6"/>
    </row>
    <row r="67" spans="2:5" x14ac:dyDescent="0.25">
      <c r="C67" s="6"/>
      <c r="D67" s="6"/>
      <c r="E67" s="6"/>
    </row>
    <row r="68" spans="2:5" x14ac:dyDescent="0.25">
      <c r="C68" s="6"/>
      <c r="D68" s="6"/>
      <c r="E68" s="6"/>
    </row>
    <row r="69" spans="2:5" x14ac:dyDescent="0.25">
      <c r="C69" s="6"/>
      <c r="D69" s="6"/>
      <c r="E69" s="6"/>
    </row>
    <row r="70" spans="2:5" x14ac:dyDescent="0.25">
      <c r="C70" s="6"/>
      <c r="D70" s="6"/>
      <c r="E70" s="6"/>
    </row>
    <row r="71" spans="2:5" x14ac:dyDescent="0.25"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C73" s="6"/>
      <c r="D73" s="6"/>
      <c r="E73" s="6"/>
    </row>
    <row r="74" spans="2:5" x14ac:dyDescent="0.25">
      <c r="C74" s="6"/>
      <c r="D74" s="6"/>
      <c r="E74" s="6"/>
    </row>
    <row r="75" spans="2:5" x14ac:dyDescent="0.25">
      <c r="C75" s="6"/>
      <c r="D75" s="6"/>
      <c r="E75" s="6"/>
    </row>
    <row r="76" spans="2:5" x14ac:dyDescent="0.25">
      <c r="C76" s="6"/>
      <c r="D76" s="6"/>
      <c r="E76" s="6"/>
    </row>
    <row r="77" spans="2:5" x14ac:dyDescent="0.25">
      <c r="C77" s="6"/>
      <c r="D77" s="6"/>
      <c r="E77" s="6"/>
    </row>
    <row r="78" spans="2:5" x14ac:dyDescent="0.25">
      <c r="C78" s="6"/>
      <c r="D78" s="6"/>
      <c r="E78" s="6"/>
    </row>
    <row r="79" spans="2:5" x14ac:dyDescent="0.25">
      <c r="C79" s="6"/>
      <c r="D79" s="6"/>
      <c r="E79" s="6"/>
    </row>
    <row r="80" spans="2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24" xr:uid="{2250145D-FABD-431A-BFAB-6DCC59B8F332}"/>
  <mergeCells count="7">
    <mergeCell ref="A2:E2"/>
    <mergeCell ref="B44:D44"/>
    <mergeCell ref="B45:D45"/>
    <mergeCell ref="B162:D162"/>
    <mergeCell ref="B163:D163"/>
    <mergeCell ref="A23:D23"/>
    <mergeCell ref="A24:D24"/>
  </mergeCells>
  <conditionalFormatting sqref="E1">
    <cfRule type="cellIs" dxfId="31" priority="7" operator="lessThan">
      <formula>0</formula>
    </cfRule>
  </conditionalFormatting>
  <conditionalFormatting sqref="E3:E117">
    <cfRule type="cellIs" dxfId="30" priority="1" operator="lessThan">
      <formula>0</formula>
    </cfRule>
  </conditionalFormatting>
  <conditionalFormatting sqref="E119:E163">
    <cfRule type="cellIs" dxfId="29" priority="5" operator="lessThan">
      <formula>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C430F-9FA2-4E3B-9F42-85B20E8B806D}">
  <dimension ref="A1:E163"/>
  <sheetViews>
    <sheetView zoomScale="145" zoomScaleNormal="145" workbookViewId="0">
      <pane ySplit="1" topLeftCell="A5" activePane="bottomLeft" state="frozen"/>
      <selection pane="bottomLeft" activeCell="G17" sqref="G17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19" style="4" bestFit="1" customWidth="1"/>
    <col min="4" max="4" width="16.140625" style="4" customWidth="1"/>
    <col min="5" max="5" width="15" style="4" customWidth="1"/>
    <col min="6" max="16384" width="9.140625" style="4"/>
  </cols>
  <sheetData>
    <row r="1" spans="1:5" x14ac:dyDescent="0.25">
      <c r="A1" s="17" t="s">
        <v>0</v>
      </c>
      <c r="B1" s="17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46042</v>
      </c>
      <c r="B2" s="88"/>
      <c r="C2" s="88"/>
      <c r="D2" s="88"/>
      <c r="E2" s="88"/>
    </row>
    <row r="3" spans="1:5" x14ac:dyDescent="0.25">
      <c r="A3" s="4">
        <v>1</v>
      </c>
      <c r="B3" s="4" t="s">
        <v>38</v>
      </c>
      <c r="C3" s="6">
        <v>2567777</v>
      </c>
      <c r="D3" s="6">
        <v>2698000</v>
      </c>
      <c r="E3" s="6">
        <f t="shared" ref="E3:E22" si="0">D3-C3</f>
        <v>130223</v>
      </c>
    </row>
    <row r="4" spans="1:5" x14ac:dyDescent="0.25">
      <c r="A4" s="4">
        <v>2</v>
      </c>
      <c r="B4" s="4" t="s">
        <v>38</v>
      </c>
      <c r="C4" s="6">
        <v>2567777</v>
      </c>
      <c r="D4" s="6">
        <v>2698000</v>
      </c>
      <c r="E4" s="6">
        <f t="shared" si="0"/>
        <v>130223</v>
      </c>
    </row>
    <row r="5" spans="1:5" x14ac:dyDescent="0.25">
      <c r="A5" s="4">
        <v>3</v>
      </c>
      <c r="B5" s="4" t="s">
        <v>66</v>
      </c>
      <c r="C5" s="6">
        <v>1200000</v>
      </c>
      <c r="D5" s="6">
        <v>1330000</v>
      </c>
      <c r="E5" s="6">
        <f t="shared" si="0"/>
        <v>130000</v>
      </c>
    </row>
    <row r="6" spans="1:5" x14ac:dyDescent="0.25">
      <c r="A6" s="18">
        <v>4</v>
      </c>
      <c r="B6" s="4" t="s">
        <v>40</v>
      </c>
      <c r="C6" s="6">
        <v>1240000</v>
      </c>
      <c r="D6" s="6">
        <v>1385272</v>
      </c>
      <c r="E6" s="6">
        <f t="shared" si="0"/>
        <v>145272</v>
      </c>
    </row>
    <row r="7" spans="1:5" x14ac:dyDescent="0.25">
      <c r="A7" s="18">
        <v>5</v>
      </c>
      <c r="B7" s="4" t="s">
        <v>28</v>
      </c>
      <c r="C7" s="6">
        <v>950000</v>
      </c>
      <c r="D7" s="6">
        <v>1140000</v>
      </c>
      <c r="E7" s="6">
        <f t="shared" si="0"/>
        <v>190000</v>
      </c>
    </row>
    <row r="8" spans="1:5" x14ac:dyDescent="0.25">
      <c r="A8" s="18">
        <v>6</v>
      </c>
      <c r="B8" s="4" t="s">
        <v>33</v>
      </c>
      <c r="C8" s="6">
        <v>2000000</v>
      </c>
      <c r="D8" s="6">
        <v>2232500</v>
      </c>
      <c r="E8" s="6">
        <f t="shared" si="0"/>
        <v>232500</v>
      </c>
    </row>
    <row r="9" spans="1:5" x14ac:dyDescent="0.25">
      <c r="A9" s="18">
        <v>7</v>
      </c>
      <c r="B9" s="4" t="s">
        <v>26</v>
      </c>
      <c r="C9" s="6">
        <v>1700000</v>
      </c>
      <c r="D9" s="6">
        <v>1899999</v>
      </c>
      <c r="E9" s="6">
        <f t="shared" si="0"/>
        <v>199999</v>
      </c>
    </row>
    <row r="10" spans="1:5" x14ac:dyDescent="0.25">
      <c r="A10" s="18">
        <v>8</v>
      </c>
      <c r="B10" s="4" t="s">
        <v>23</v>
      </c>
      <c r="C10" s="6">
        <v>2000000</v>
      </c>
      <c r="D10" s="6">
        <v>2261000</v>
      </c>
      <c r="E10" s="6">
        <f t="shared" si="0"/>
        <v>261000</v>
      </c>
    </row>
    <row r="11" spans="1:5" x14ac:dyDescent="0.25">
      <c r="A11" s="18">
        <v>9</v>
      </c>
      <c r="B11" s="4" t="s">
        <v>43</v>
      </c>
      <c r="C11" s="6">
        <v>1099999</v>
      </c>
      <c r="D11" s="6">
        <v>1139050</v>
      </c>
      <c r="E11" s="6">
        <f t="shared" si="0"/>
        <v>39051</v>
      </c>
    </row>
    <row r="12" spans="1:5" x14ac:dyDescent="0.25">
      <c r="A12" s="18">
        <v>10</v>
      </c>
      <c r="B12" s="4" t="s">
        <v>43</v>
      </c>
      <c r="C12" s="6">
        <v>1100000</v>
      </c>
      <c r="D12" s="6">
        <v>1140000</v>
      </c>
      <c r="E12" s="6">
        <f t="shared" si="0"/>
        <v>40000</v>
      </c>
    </row>
    <row r="13" spans="1:5" x14ac:dyDescent="0.25">
      <c r="A13" s="18">
        <v>11</v>
      </c>
      <c r="B13" s="4" t="s">
        <v>13</v>
      </c>
      <c r="C13" s="6">
        <v>3799999</v>
      </c>
      <c r="D13" s="6">
        <v>3796199</v>
      </c>
      <c r="E13" s="6">
        <f t="shared" si="0"/>
        <v>-3800</v>
      </c>
    </row>
    <row r="14" spans="1:5" x14ac:dyDescent="0.25">
      <c r="A14" s="18">
        <v>12</v>
      </c>
      <c r="B14" s="4" t="s">
        <v>13</v>
      </c>
      <c r="C14" s="6">
        <v>3700000</v>
      </c>
      <c r="D14" s="6">
        <v>3796199</v>
      </c>
      <c r="E14" s="6">
        <f t="shared" si="0"/>
        <v>96199</v>
      </c>
    </row>
    <row r="15" spans="1:5" x14ac:dyDescent="0.25">
      <c r="A15" s="18">
        <v>13</v>
      </c>
      <c r="B15" s="4" t="s">
        <v>13</v>
      </c>
      <c r="C15" s="6">
        <v>3700000</v>
      </c>
      <c r="D15" s="6">
        <v>3798100</v>
      </c>
      <c r="E15" s="6">
        <f t="shared" si="0"/>
        <v>98100</v>
      </c>
    </row>
    <row r="16" spans="1:5" x14ac:dyDescent="0.25">
      <c r="A16" s="18">
        <v>14</v>
      </c>
      <c r="B16" s="4" t="s">
        <v>33</v>
      </c>
      <c r="C16" s="6">
        <v>2099999</v>
      </c>
      <c r="D16" s="6">
        <v>2137500</v>
      </c>
      <c r="E16" s="6">
        <f t="shared" si="0"/>
        <v>37501</v>
      </c>
    </row>
    <row r="17" spans="1:5" x14ac:dyDescent="0.25">
      <c r="A17" s="18">
        <v>15</v>
      </c>
      <c r="B17" s="4" t="s">
        <v>16</v>
      </c>
      <c r="C17" s="6">
        <v>1600000</v>
      </c>
      <c r="D17" s="6">
        <v>1643500</v>
      </c>
      <c r="E17" s="6">
        <f t="shared" si="0"/>
        <v>43500</v>
      </c>
    </row>
    <row r="18" spans="1:5" x14ac:dyDescent="0.25">
      <c r="A18" s="18">
        <v>16</v>
      </c>
      <c r="B18" s="4" t="s">
        <v>56</v>
      </c>
      <c r="C18" s="6">
        <v>1000000</v>
      </c>
      <c r="D18" s="6">
        <v>1140000</v>
      </c>
      <c r="E18" s="6">
        <f t="shared" si="0"/>
        <v>140000</v>
      </c>
    </row>
    <row r="19" spans="1:5" x14ac:dyDescent="0.25">
      <c r="A19" s="18">
        <v>17</v>
      </c>
      <c r="B19" s="4" t="s">
        <v>16</v>
      </c>
      <c r="C19" s="6">
        <v>1600000</v>
      </c>
      <c r="D19" s="6">
        <v>1643500</v>
      </c>
      <c r="E19" s="6">
        <f t="shared" si="0"/>
        <v>43500</v>
      </c>
    </row>
    <row r="20" spans="1:5" x14ac:dyDescent="0.25">
      <c r="A20" s="18">
        <v>18</v>
      </c>
      <c r="B20" s="4" t="s">
        <v>59</v>
      </c>
      <c r="C20" s="6">
        <v>211000</v>
      </c>
      <c r="D20" s="6">
        <v>316500</v>
      </c>
      <c r="E20" s="6">
        <f t="shared" si="0"/>
        <v>105500</v>
      </c>
    </row>
    <row r="21" spans="1:5" x14ac:dyDescent="0.25">
      <c r="A21" s="18">
        <v>19</v>
      </c>
      <c r="B21" s="4" t="s">
        <v>23</v>
      </c>
      <c r="C21" s="6">
        <v>2049999</v>
      </c>
      <c r="D21" s="6">
        <v>2470000</v>
      </c>
      <c r="E21" s="6">
        <f t="shared" si="0"/>
        <v>420001</v>
      </c>
    </row>
    <row r="22" spans="1:5" x14ac:dyDescent="0.25">
      <c r="A22" s="18">
        <v>20</v>
      </c>
      <c r="B22" s="4" t="s">
        <v>35</v>
      </c>
      <c r="C22" s="6">
        <v>1150000</v>
      </c>
      <c r="D22" s="6">
        <v>1282500</v>
      </c>
      <c r="E22" s="6">
        <f t="shared" si="0"/>
        <v>132500</v>
      </c>
    </row>
    <row r="23" spans="1:5" x14ac:dyDescent="0.25">
      <c r="A23" s="89" t="s">
        <v>8</v>
      </c>
      <c r="B23" s="89"/>
      <c r="C23" s="89"/>
      <c r="D23" s="89"/>
      <c r="E23" s="8">
        <v>0</v>
      </c>
    </row>
    <row r="24" spans="1:5" x14ac:dyDescent="0.25">
      <c r="A24" s="89" t="s">
        <v>9</v>
      </c>
      <c r="B24" s="89"/>
      <c r="C24" s="89"/>
      <c r="D24" s="89"/>
      <c r="E24" s="8">
        <f>SUM(E3:E22)-E23</f>
        <v>2611269</v>
      </c>
    </row>
    <row r="25" spans="1:5" x14ac:dyDescent="0.25">
      <c r="C25" s="6"/>
      <c r="D25" s="6"/>
      <c r="E25" s="6"/>
    </row>
    <row r="26" spans="1:5" x14ac:dyDescent="0.25">
      <c r="C26" s="6"/>
      <c r="D26" s="6"/>
      <c r="E26" s="6"/>
    </row>
    <row r="27" spans="1:5" x14ac:dyDescent="0.25">
      <c r="C27" s="6"/>
      <c r="D27" s="6"/>
      <c r="E27" s="6"/>
    </row>
    <row r="28" spans="1:5" x14ac:dyDescent="0.25">
      <c r="C28" s="6"/>
      <c r="D28" s="6"/>
      <c r="E28" s="6"/>
    </row>
    <row r="29" spans="1:5" x14ac:dyDescent="0.25">
      <c r="C29" s="6"/>
      <c r="D29" s="6"/>
      <c r="E29" s="6"/>
    </row>
    <row r="30" spans="1:5" x14ac:dyDescent="0.25">
      <c r="C30" s="6"/>
      <c r="D30" s="6"/>
      <c r="E30" s="6"/>
    </row>
    <row r="31" spans="1:5" x14ac:dyDescent="0.25">
      <c r="C31" s="6"/>
      <c r="D31" s="6"/>
      <c r="E31" s="6"/>
    </row>
    <row r="32" spans="1:5" x14ac:dyDescent="0.25">
      <c r="C32" s="6"/>
      <c r="D32" s="6"/>
      <c r="E32" s="6"/>
    </row>
    <row r="33" spans="2:5" x14ac:dyDescent="0.25">
      <c r="C33" s="6"/>
      <c r="D33" s="6"/>
      <c r="E33" s="6"/>
    </row>
    <row r="34" spans="2:5" x14ac:dyDescent="0.25">
      <c r="C34" s="6"/>
      <c r="D34" s="6"/>
      <c r="E34" s="6"/>
    </row>
    <row r="35" spans="2:5" x14ac:dyDescent="0.25">
      <c r="C35" s="6"/>
      <c r="D35" s="6"/>
      <c r="E35" s="6"/>
    </row>
    <row r="36" spans="2:5" x14ac:dyDescent="0.25">
      <c r="C36" s="6"/>
      <c r="D36" s="6"/>
      <c r="E36" s="6"/>
    </row>
    <row r="37" spans="2:5" x14ac:dyDescent="0.25">
      <c r="C37" s="6"/>
      <c r="D37" s="6"/>
      <c r="E37" s="6"/>
    </row>
    <row r="38" spans="2:5" x14ac:dyDescent="0.25">
      <c r="C38" s="6"/>
      <c r="D38" s="6"/>
      <c r="E38" s="6"/>
    </row>
    <row r="39" spans="2:5" x14ac:dyDescent="0.25">
      <c r="C39" s="6"/>
      <c r="D39" s="6"/>
      <c r="E39" s="6"/>
    </row>
    <row r="40" spans="2:5" x14ac:dyDescent="0.25">
      <c r="C40" s="6"/>
      <c r="D40" s="6"/>
      <c r="E40" s="6"/>
    </row>
    <row r="41" spans="2:5" x14ac:dyDescent="0.25">
      <c r="C41" s="6"/>
      <c r="D41" s="6"/>
      <c r="E41" s="6"/>
    </row>
    <row r="42" spans="2:5" x14ac:dyDescent="0.25">
      <c r="C42" s="6"/>
      <c r="D42" s="6"/>
      <c r="E42" s="6"/>
    </row>
    <row r="43" spans="2:5" x14ac:dyDescent="0.25">
      <c r="C43" s="6"/>
      <c r="D43" s="6"/>
      <c r="E43" s="6"/>
    </row>
    <row r="44" spans="2:5" x14ac:dyDescent="0.25">
      <c r="B44" s="89"/>
      <c r="C44" s="89"/>
      <c r="D44" s="89"/>
      <c r="E44" s="8"/>
    </row>
    <row r="45" spans="2:5" x14ac:dyDescent="0.25">
      <c r="B45" s="89"/>
      <c r="C45" s="89"/>
      <c r="D45" s="89"/>
      <c r="E45" s="8"/>
    </row>
    <row r="46" spans="2:5" x14ac:dyDescent="0.25">
      <c r="C46" s="6"/>
      <c r="D46" s="6"/>
      <c r="E46" s="6"/>
    </row>
    <row r="47" spans="2:5" x14ac:dyDescent="0.25">
      <c r="C47" s="6"/>
      <c r="D47" s="6"/>
      <c r="E47" s="6"/>
    </row>
    <row r="48" spans="2:5" x14ac:dyDescent="0.25">
      <c r="C48" s="6"/>
      <c r="D48" s="6"/>
      <c r="E48" s="6"/>
    </row>
    <row r="49" spans="3:5" x14ac:dyDescent="0.25">
      <c r="C49" s="6"/>
      <c r="D49" s="6"/>
      <c r="E49" s="6"/>
    </row>
    <row r="50" spans="3:5" x14ac:dyDescent="0.25">
      <c r="C50" s="6"/>
      <c r="D50" s="6"/>
      <c r="E50" s="6"/>
    </row>
    <row r="51" spans="3:5" x14ac:dyDescent="0.25">
      <c r="C51" s="6"/>
      <c r="D51" s="6"/>
      <c r="E51" s="6"/>
    </row>
    <row r="52" spans="3:5" x14ac:dyDescent="0.25">
      <c r="C52" s="6"/>
      <c r="D52" s="6"/>
      <c r="E52" s="6"/>
    </row>
    <row r="53" spans="3:5" x14ac:dyDescent="0.25">
      <c r="C53" s="6"/>
      <c r="D53" s="6"/>
      <c r="E53" s="6"/>
    </row>
    <row r="54" spans="3:5" x14ac:dyDescent="0.25">
      <c r="C54" s="6"/>
      <c r="D54" s="6"/>
      <c r="E54" s="6"/>
    </row>
    <row r="55" spans="3:5" x14ac:dyDescent="0.25">
      <c r="C55" s="6"/>
      <c r="D55" s="6"/>
      <c r="E55" s="6"/>
    </row>
    <row r="56" spans="3:5" x14ac:dyDescent="0.25">
      <c r="C56" s="6"/>
      <c r="D56" s="6"/>
      <c r="E56" s="6"/>
    </row>
    <row r="57" spans="3:5" x14ac:dyDescent="0.25">
      <c r="C57" s="6"/>
      <c r="D57" s="6"/>
      <c r="E57" s="6"/>
    </row>
    <row r="58" spans="3:5" x14ac:dyDescent="0.25">
      <c r="C58" s="6"/>
      <c r="D58" s="6"/>
      <c r="E58" s="6"/>
    </row>
    <row r="59" spans="3:5" x14ac:dyDescent="0.25">
      <c r="C59" s="6"/>
      <c r="D59" s="6"/>
      <c r="E59" s="6"/>
    </row>
    <row r="60" spans="3:5" x14ac:dyDescent="0.25">
      <c r="C60" s="6"/>
      <c r="D60" s="6"/>
      <c r="E60" s="6"/>
    </row>
    <row r="61" spans="3:5" x14ac:dyDescent="0.25">
      <c r="C61" s="6"/>
      <c r="D61" s="6"/>
      <c r="E61" s="6"/>
    </row>
    <row r="62" spans="3:5" x14ac:dyDescent="0.25">
      <c r="C62" s="6"/>
      <c r="D62" s="6"/>
      <c r="E62" s="6"/>
    </row>
    <row r="63" spans="3:5" x14ac:dyDescent="0.25">
      <c r="C63" s="6"/>
      <c r="D63" s="6"/>
      <c r="E63" s="6"/>
    </row>
    <row r="64" spans="3:5" x14ac:dyDescent="0.25">
      <c r="C64" s="6"/>
      <c r="D64" s="6"/>
      <c r="E64" s="6"/>
    </row>
    <row r="65" spans="2:5" x14ac:dyDescent="0.25">
      <c r="C65" s="6"/>
      <c r="D65" s="6"/>
      <c r="E65" s="6"/>
    </row>
    <row r="66" spans="2:5" x14ac:dyDescent="0.25">
      <c r="C66" s="6"/>
      <c r="D66" s="6"/>
      <c r="E66" s="6"/>
    </row>
    <row r="67" spans="2:5" x14ac:dyDescent="0.25">
      <c r="C67" s="6"/>
      <c r="D67" s="6"/>
      <c r="E67" s="6"/>
    </row>
    <row r="68" spans="2:5" x14ac:dyDescent="0.25">
      <c r="C68" s="6"/>
      <c r="D68" s="6"/>
      <c r="E68" s="6"/>
    </row>
    <row r="69" spans="2:5" x14ac:dyDescent="0.25">
      <c r="C69" s="6"/>
      <c r="D69" s="6"/>
      <c r="E69" s="6"/>
    </row>
    <row r="70" spans="2:5" x14ac:dyDescent="0.25">
      <c r="C70" s="6"/>
      <c r="D70" s="6"/>
      <c r="E70" s="6"/>
    </row>
    <row r="71" spans="2:5" x14ac:dyDescent="0.25"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C73" s="6"/>
      <c r="D73" s="6"/>
      <c r="E73" s="6"/>
    </row>
    <row r="74" spans="2:5" x14ac:dyDescent="0.25">
      <c r="C74" s="6"/>
      <c r="D74" s="6"/>
      <c r="E74" s="6"/>
    </row>
    <row r="75" spans="2:5" x14ac:dyDescent="0.25">
      <c r="C75" s="6"/>
      <c r="D75" s="6"/>
      <c r="E75" s="6"/>
    </row>
    <row r="76" spans="2:5" x14ac:dyDescent="0.25">
      <c r="C76" s="6"/>
      <c r="D76" s="6"/>
      <c r="E76" s="6"/>
    </row>
    <row r="77" spans="2:5" x14ac:dyDescent="0.25">
      <c r="C77" s="6"/>
      <c r="D77" s="6"/>
      <c r="E77" s="6"/>
    </row>
    <row r="78" spans="2:5" x14ac:dyDescent="0.25">
      <c r="C78" s="6"/>
      <c r="D78" s="6"/>
      <c r="E78" s="6"/>
    </row>
    <row r="79" spans="2:5" x14ac:dyDescent="0.25">
      <c r="C79" s="6"/>
      <c r="D79" s="6"/>
      <c r="E79" s="6"/>
    </row>
    <row r="80" spans="2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24" xr:uid="{226C430F-9FA2-4E3B-9F42-85B20E8B806D}"/>
  <mergeCells count="7">
    <mergeCell ref="A2:E2"/>
    <mergeCell ref="B44:D44"/>
    <mergeCell ref="B45:D45"/>
    <mergeCell ref="B162:D162"/>
    <mergeCell ref="B163:D163"/>
    <mergeCell ref="A23:D23"/>
    <mergeCell ref="A24:D24"/>
  </mergeCells>
  <conditionalFormatting sqref="E1">
    <cfRule type="cellIs" dxfId="28" priority="5" operator="lessThan">
      <formula>0</formula>
    </cfRule>
  </conditionalFormatting>
  <conditionalFormatting sqref="E3:E117">
    <cfRule type="cellIs" dxfId="27" priority="1" operator="lessThan">
      <formula>0</formula>
    </cfRule>
  </conditionalFormatting>
  <conditionalFormatting sqref="E119:E163">
    <cfRule type="cellIs" dxfId="26" priority="4" operator="lessThan">
      <formula>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B640-EFA4-42ED-9250-1FE82BE7B3FD}">
  <dimension ref="A1:E163"/>
  <sheetViews>
    <sheetView zoomScale="145" zoomScaleNormal="145" workbookViewId="0">
      <pane ySplit="1" topLeftCell="A26" activePane="bottomLeft" state="frozen"/>
      <selection pane="bottomLeft" activeCell="B41" sqref="B41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46040</v>
      </c>
      <c r="B2" s="88"/>
      <c r="C2" s="88"/>
      <c r="D2" s="88"/>
      <c r="E2" s="88"/>
    </row>
    <row r="3" spans="1:5" x14ac:dyDescent="0.25">
      <c r="A3" s="4">
        <v>1</v>
      </c>
      <c r="B3" s="4" t="s">
        <v>72</v>
      </c>
      <c r="C3" s="6">
        <v>6300100</v>
      </c>
      <c r="D3" s="6">
        <v>6460000</v>
      </c>
      <c r="E3" s="6">
        <f t="shared" ref="E3:E43" si="0">D3-C3</f>
        <v>159900</v>
      </c>
    </row>
    <row r="4" spans="1:5" x14ac:dyDescent="0.25">
      <c r="A4" s="4">
        <v>2</v>
      </c>
      <c r="B4" s="4" t="s">
        <v>16</v>
      </c>
      <c r="C4" s="6">
        <v>1600000</v>
      </c>
      <c r="D4" s="6">
        <v>1757500</v>
      </c>
      <c r="E4" s="6">
        <f t="shared" si="0"/>
        <v>157500</v>
      </c>
    </row>
    <row r="5" spans="1:5" x14ac:dyDescent="0.25">
      <c r="A5" s="4">
        <v>3</v>
      </c>
      <c r="B5" s="4" t="s">
        <v>16</v>
      </c>
      <c r="C5" s="6">
        <v>1600000</v>
      </c>
      <c r="D5" s="6">
        <v>1757500</v>
      </c>
      <c r="E5" s="6">
        <f t="shared" si="0"/>
        <v>157500</v>
      </c>
    </row>
    <row r="6" spans="1:5" x14ac:dyDescent="0.25">
      <c r="A6" s="4">
        <v>4</v>
      </c>
      <c r="B6" s="4" t="s">
        <v>33</v>
      </c>
      <c r="C6" s="6">
        <v>1950000</v>
      </c>
      <c r="D6" s="6">
        <v>2175500</v>
      </c>
      <c r="E6" s="6">
        <f t="shared" si="0"/>
        <v>225500</v>
      </c>
    </row>
    <row r="7" spans="1:5" x14ac:dyDescent="0.25">
      <c r="A7" s="4">
        <v>5</v>
      </c>
      <c r="B7" s="4" t="s">
        <v>16</v>
      </c>
      <c r="C7" s="6">
        <v>1600000</v>
      </c>
      <c r="D7" s="6">
        <v>1757500</v>
      </c>
      <c r="E7" s="6">
        <f t="shared" si="0"/>
        <v>157500</v>
      </c>
    </row>
    <row r="8" spans="1:5" x14ac:dyDescent="0.25">
      <c r="A8" s="4">
        <v>6</v>
      </c>
      <c r="B8" s="4" t="s">
        <v>16</v>
      </c>
      <c r="C8" s="6">
        <v>1590000</v>
      </c>
      <c r="D8" s="6">
        <v>1757500</v>
      </c>
      <c r="E8" s="6">
        <f t="shared" si="0"/>
        <v>167500</v>
      </c>
    </row>
    <row r="9" spans="1:5" x14ac:dyDescent="0.25">
      <c r="A9" s="4">
        <v>7</v>
      </c>
      <c r="B9" s="4" t="s">
        <v>16</v>
      </c>
      <c r="C9" s="6">
        <v>1600000</v>
      </c>
      <c r="D9" s="6">
        <v>1757500</v>
      </c>
      <c r="E9" s="6">
        <f t="shared" si="0"/>
        <v>157500</v>
      </c>
    </row>
    <row r="10" spans="1:5" x14ac:dyDescent="0.25">
      <c r="A10" s="4">
        <v>8</v>
      </c>
      <c r="B10" s="4" t="s">
        <v>16</v>
      </c>
      <c r="C10" s="6">
        <v>1550000</v>
      </c>
      <c r="D10" s="6">
        <v>1757500</v>
      </c>
      <c r="E10" s="6">
        <f t="shared" si="0"/>
        <v>207500</v>
      </c>
    </row>
    <row r="11" spans="1:5" x14ac:dyDescent="0.25">
      <c r="A11" s="4">
        <v>9</v>
      </c>
      <c r="B11" s="4" t="s">
        <v>62</v>
      </c>
      <c r="C11" s="6">
        <v>800000</v>
      </c>
      <c r="D11" s="6">
        <v>951900</v>
      </c>
      <c r="E11" s="6">
        <f t="shared" si="0"/>
        <v>151900</v>
      </c>
    </row>
    <row r="12" spans="1:5" x14ac:dyDescent="0.25">
      <c r="A12" s="4">
        <v>10</v>
      </c>
      <c r="B12" s="4" t="s">
        <v>16</v>
      </c>
      <c r="C12" s="6">
        <v>1550000</v>
      </c>
      <c r="D12" s="6">
        <v>1757500</v>
      </c>
      <c r="E12" s="6">
        <f t="shared" si="0"/>
        <v>207500</v>
      </c>
    </row>
    <row r="13" spans="1:5" x14ac:dyDescent="0.25">
      <c r="A13" s="4">
        <v>11</v>
      </c>
      <c r="B13" s="4" t="s">
        <v>23</v>
      </c>
      <c r="C13" s="6">
        <v>1999999</v>
      </c>
      <c r="D13" s="6">
        <v>2279999</v>
      </c>
      <c r="E13" s="6">
        <f t="shared" si="0"/>
        <v>280000</v>
      </c>
    </row>
    <row r="14" spans="1:5" x14ac:dyDescent="0.25">
      <c r="A14" s="4">
        <v>12</v>
      </c>
      <c r="B14" s="4" t="s">
        <v>13</v>
      </c>
      <c r="C14" s="6">
        <v>3800000</v>
      </c>
      <c r="D14" s="6">
        <v>3895000</v>
      </c>
      <c r="E14" s="6">
        <f t="shared" si="0"/>
        <v>95000</v>
      </c>
    </row>
    <row r="15" spans="1:5" x14ac:dyDescent="0.25">
      <c r="A15" s="4">
        <v>13</v>
      </c>
      <c r="B15" s="4" t="s">
        <v>34</v>
      </c>
      <c r="C15" s="6">
        <v>4700000</v>
      </c>
      <c r="D15" s="6">
        <v>5082500</v>
      </c>
      <c r="E15" s="6">
        <f t="shared" si="0"/>
        <v>382500</v>
      </c>
    </row>
    <row r="16" spans="1:5" x14ac:dyDescent="0.25">
      <c r="A16" s="4">
        <v>14</v>
      </c>
      <c r="B16" s="4" t="s">
        <v>38</v>
      </c>
      <c r="C16" s="6">
        <v>2400000</v>
      </c>
      <c r="D16" s="6">
        <v>2702221</v>
      </c>
      <c r="E16" s="6">
        <f t="shared" si="0"/>
        <v>302221</v>
      </c>
    </row>
    <row r="17" spans="1:5" x14ac:dyDescent="0.25">
      <c r="A17" s="4">
        <v>15</v>
      </c>
      <c r="B17" s="4" t="s">
        <v>43</v>
      </c>
      <c r="C17" s="6">
        <v>1000000</v>
      </c>
      <c r="D17" s="6">
        <v>1187500</v>
      </c>
      <c r="E17" s="6">
        <f t="shared" si="0"/>
        <v>187500</v>
      </c>
    </row>
    <row r="18" spans="1:5" x14ac:dyDescent="0.25">
      <c r="A18" s="4">
        <v>16</v>
      </c>
      <c r="B18" s="4" t="s">
        <v>43</v>
      </c>
      <c r="C18" s="6">
        <v>1000000</v>
      </c>
      <c r="D18" s="6">
        <v>1187500</v>
      </c>
      <c r="E18" s="6">
        <f t="shared" si="0"/>
        <v>187500</v>
      </c>
    </row>
    <row r="19" spans="1:5" x14ac:dyDescent="0.25">
      <c r="A19" s="4">
        <v>17</v>
      </c>
      <c r="B19" s="4" t="s">
        <v>43</v>
      </c>
      <c r="C19" s="6">
        <v>1000000</v>
      </c>
      <c r="D19" s="6">
        <v>1187500</v>
      </c>
      <c r="E19" s="6">
        <f t="shared" si="0"/>
        <v>187500</v>
      </c>
    </row>
    <row r="20" spans="1:5" x14ac:dyDescent="0.25">
      <c r="A20" s="4">
        <v>18</v>
      </c>
      <c r="B20" s="4" t="s">
        <v>43</v>
      </c>
      <c r="C20" s="6">
        <v>999999</v>
      </c>
      <c r="D20" s="6">
        <v>1225500</v>
      </c>
      <c r="E20" s="6">
        <f t="shared" si="0"/>
        <v>225501</v>
      </c>
    </row>
    <row r="21" spans="1:5" x14ac:dyDescent="0.25">
      <c r="A21" s="4">
        <v>19</v>
      </c>
      <c r="B21" s="4" t="s">
        <v>43</v>
      </c>
      <c r="C21" s="6">
        <v>1000000</v>
      </c>
      <c r="D21" s="6">
        <v>1225500</v>
      </c>
      <c r="E21" s="6">
        <f t="shared" si="0"/>
        <v>225500</v>
      </c>
    </row>
    <row r="22" spans="1:5" x14ac:dyDescent="0.25">
      <c r="A22" s="4">
        <v>20</v>
      </c>
      <c r="B22" s="4" t="s">
        <v>43</v>
      </c>
      <c r="C22" s="6">
        <v>1000000</v>
      </c>
      <c r="D22" s="6">
        <v>1187500</v>
      </c>
      <c r="E22" s="6">
        <f t="shared" si="0"/>
        <v>187500</v>
      </c>
    </row>
    <row r="23" spans="1:5" x14ac:dyDescent="0.25">
      <c r="A23" s="4">
        <v>21</v>
      </c>
      <c r="B23" s="4" t="s">
        <v>66</v>
      </c>
      <c r="C23" s="6">
        <v>1260000</v>
      </c>
      <c r="D23" s="6">
        <v>1420250</v>
      </c>
      <c r="E23" s="6">
        <f t="shared" si="0"/>
        <v>160250</v>
      </c>
    </row>
    <row r="24" spans="1:5" x14ac:dyDescent="0.25">
      <c r="A24" s="4">
        <v>22</v>
      </c>
      <c r="B24" s="4" t="s">
        <v>43</v>
      </c>
      <c r="C24" s="6">
        <v>1000000</v>
      </c>
      <c r="D24" s="6">
        <v>1187500</v>
      </c>
      <c r="E24" s="6">
        <f t="shared" si="0"/>
        <v>187500</v>
      </c>
    </row>
    <row r="25" spans="1:5" x14ac:dyDescent="0.25">
      <c r="A25" s="4">
        <v>23</v>
      </c>
      <c r="B25" s="4" t="s">
        <v>13</v>
      </c>
      <c r="C25" s="6">
        <v>3677777</v>
      </c>
      <c r="D25" s="6">
        <v>3895000</v>
      </c>
      <c r="E25" s="6">
        <f t="shared" si="0"/>
        <v>217223</v>
      </c>
    </row>
    <row r="26" spans="1:5" x14ac:dyDescent="0.25">
      <c r="A26" s="4">
        <v>24</v>
      </c>
      <c r="B26" s="4" t="s">
        <v>23</v>
      </c>
      <c r="C26" s="6">
        <v>2000000</v>
      </c>
      <c r="D26" s="6">
        <v>2175500</v>
      </c>
      <c r="E26" s="6">
        <f t="shared" si="0"/>
        <v>175500</v>
      </c>
    </row>
    <row r="27" spans="1:5" x14ac:dyDescent="0.25">
      <c r="A27" s="4">
        <v>25</v>
      </c>
      <c r="B27" s="4" t="s">
        <v>23</v>
      </c>
      <c r="C27" s="6">
        <v>2000000</v>
      </c>
      <c r="D27" s="6">
        <v>2175500</v>
      </c>
      <c r="E27" s="6">
        <f t="shared" si="0"/>
        <v>175500</v>
      </c>
    </row>
    <row r="28" spans="1:5" x14ac:dyDescent="0.25">
      <c r="A28" s="4">
        <v>26</v>
      </c>
      <c r="B28" s="4" t="s">
        <v>23</v>
      </c>
      <c r="C28" s="6">
        <v>2000000</v>
      </c>
      <c r="D28" s="6">
        <v>2175500</v>
      </c>
      <c r="E28" s="6">
        <f t="shared" si="0"/>
        <v>175500</v>
      </c>
    </row>
    <row r="29" spans="1:5" x14ac:dyDescent="0.25">
      <c r="A29" s="4">
        <v>27</v>
      </c>
      <c r="B29" s="4" t="s">
        <v>34</v>
      </c>
      <c r="C29" s="6">
        <v>4750000</v>
      </c>
      <c r="D29" s="6">
        <v>5035000</v>
      </c>
      <c r="E29" s="6">
        <f t="shared" si="0"/>
        <v>285000</v>
      </c>
    </row>
    <row r="30" spans="1:5" x14ac:dyDescent="0.25">
      <c r="A30" s="4">
        <v>28</v>
      </c>
      <c r="B30" s="4" t="s">
        <v>16</v>
      </c>
      <c r="C30" s="6">
        <v>1500000</v>
      </c>
      <c r="D30" s="6">
        <v>1805000</v>
      </c>
      <c r="E30" s="6">
        <f t="shared" si="0"/>
        <v>305000</v>
      </c>
    </row>
    <row r="31" spans="1:5" x14ac:dyDescent="0.25">
      <c r="A31" s="4">
        <v>29</v>
      </c>
      <c r="B31" s="4" t="s">
        <v>23</v>
      </c>
      <c r="C31" s="6">
        <v>2111111</v>
      </c>
      <c r="D31" s="6">
        <v>2216666</v>
      </c>
      <c r="E31" s="6">
        <f t="shared" si="0"/>
        <v>105555</v>
      </c>
    </row>
    <row r="32" spans="1:5" x14ac:dyDescent="0.25">
      <c r="A32" s="4">
        <v>30</v>
      </c>
      <c r="B32" s="4" t="s">
        <v>23</v>
      </c>
      <c r="C32" s="6">
        <v>2100000</v>
      </c>
      <c r="D32" s="6">
        <v>2185000</v>
      </c>
      <c r="E32" s="6">
        <f t="shared" si="0"/>
        <v>85000</v>
      </c>
    </row>
    <row r="33" spans="1:5" x14ac:dyDescent="0.25">
      <c r="A33" s="4">
        <v>31</v>
      </c>
      <c r="B33" s="4" t="s">
        <v>34</v>
      </c>
      <c r="C33" s="6">
        <v>4699999</v>
      </c>
      <c r="D33" s="6">
        <v>4845000</v>
      </c>
      <c r="E33" s="6">
        <f t="shared" si="0"/>
        <v>145001</v>
      </c>
    </row>
    <row r="34" spans="1:5" x14ac:dyDescent="0.25">
      <c r="A34" s="4">
        <v>32</v>
      </c>
      <c r="B34" s="4" t="s">
        <v>5</v>
      </c>
      <c r="C34" s="6">
        <v>6000000</v>
      </c>
      <c r="D34" s="6">
        <v>6104150</v>
      </c>
      <c r="E34" s="6">
        <f t="shared" si="0"/>
        <v>104150</v>
      </c>
    </row>
    <row r="35" spans="1:5" x14ac:dyDescent="0.25">
      <c r="A35" s="4">
        <v>33</v>
      </c>
      <c r="B35" s="4" t="s">
        <v>23</v>
      </c>
      <c r="C35" s="6">
        <v>2000000</v>
      </c>
      <c r="D35" s="6">
        <v>2356000</v>
      </c>
      <c r="E35" s="6">
        <f t="shared" si="0"/>
        <v>356000</v>
      </c>
    </row>
    <row r="36" spans="1:5" x14ac:dyDescent="0.25">
      <c r="A36" s="4">
        <v>34</v>
      </c>
      <c r="B36" s="4" t="s">
        <v>16</v>
      </c>
      <c r="C36" s="6">
        <v>1600000</v>
      </c>
      <c r="D36" s="6">
        <v>1805000</v>
      </c>
      <c r="E36" s="6">
        <f t="shared" si="0"/>
        <v>205000</v>
      </c>
    </row>
    <row r="37" spans="1:5" x14ac:dyDescent="0.25">
      <c r="A37" s="4">
        <v>35</v>
      </c>
      <c r="B37" s="4" t="s">
        <v>34</v>
      </c>
      <c r="C37" s="6">
        <v>4750000</v>
      </c>
      <c r="D37" s="6">
        <v>4845000</v>
      </c>
      <c r="E37" s="6">
        <f t="shared" si="0"/>
        <v>95000</v>
      </c>
    </row>
    <row r="38" spans="1:5" x14ac:dyDescent="0.25">
      <c r="A38" s="4">
        <v>36</v>
      </c>
      <c r="B38" s="4" t="s">
        <v>27</v>
      </c>
      <c r="C38" s="6">
        <v>3650000</v>
      </c>
      <c r="D38" s="6">
        <v>3790500</v>
      </c>
      <c r="E38" s="6">
        <f t="shared" si="0"/>
        <v>140500</v>
      </c>
    </row>
    <row r="39" spans="1:5" x14ac:dyDescent="0.25">
      <c r="A39" s="4">
        <v>37</v>
      </c>
      <c r="B39" s="4" t="s">
        <v>58</v>
      </c>
      <c r="C39" s="6">
        <v>100000</v>
      </c>
      <c r="D39" s="6">
        <v>310650</v>
      </c>
      <c r="E39" s="6">
        <f t="shared" si="0"/>
        <v>210650</v>
      </c>
    </row>
    <row r="40" spans="1:5" x14ac:dyDescent="0.25">
      <c r="A40" s="4">
        <v>38</v>
      </c>
      <c r="B40" s="4" t="s">
        <v>23</v>
      </c>
      <c r="C40" s="6">
        <v>2000000</v>
      </c>
      <c r="D40" s="6">
        <v>2365500</v>
      </c>
      <c r="E40" s="6">
        <f t="shared" si="0"/>
        <v>365500</v>
      </c>
    </row>
    <row r="41" spans="1:5" x14ac:dyDescent="0.25">
      <c r="A41" s="4">
        <v>39</v>
      </c>
      <c r="B41" s="4" t="s">
        <v>23</v>
      </c>
      <c r="C41" s="6">
        <v>2000000</v>
      </c>
      <c r="D41" s="6">
        <v>2216666</v>
      </c>
      <c r="E41" s="6">
        <f t="shared" si="0"/>
        <v>216666</v>
      </c>
    </row>
    <row r="42" spans="1:5" x14ac:dyDescent="0.25">
      <c r="A42" s="4">
        <v>40</v>
      </c>
      <c r="B42" s="4" t="s">
        <v>13</v>
      </c>
      <c r="C42" s="6">
        <v>3700000</v>
      </c>
      <c r="D42" s="6">
        <v>3800000</v>
      </c>
      <c r="E42" s="6">
        <f t="shared" si="0"/>
        <v>100000</v>
      </c>
    </row>
    <row r="43" spans="1:5" x14ac:dyDescent="0.25">
      <c r="A43" s="4">
        <v>41</v>
      </c>
      <c r="B43" s="4" t="s">
        <v>23</v>
      </c>
      <c r="C43" s="6">
        <v>2000000</v>
      </c>
      <c r="D43" s="6">
        <v>2356000</v>
      </c>
      <c r="E43" s="6">
        <f t="shared" si="0"/>
        <v>356000</v>
      </c>
    </row>
    <row r="44" spans="1:5" x14ac:dyDescent="0.25">
      <c r="A44" s="89" t="s">
        <v>8</v>
      </c>
      <c r="B44" s="89"/>
      <c r="C44" s="89"/>
      <c r="D44" s="89"/>
      <c r="E44" s="8">
        <v>0</v>
      </c>
    </row>
    <row r="45" spans="1:5" x14ac:dyDescent="0.25">
      <c r="A45" s="89" t="s">
        <v>9</v>
      </c>
      <c r="B45" s="89"/>
      <c r="C45" s="89"/>
      <c r="D45" s="89"/>
      <c r="E45" s="8">
        <f>SUM(E3:E43)-E44</f>
        <v>8177017</v>
      </c>
    </row>
    <row r="46" spans="1:5" x14ac:dyDescent="0.25">
      <c r="C46" s="6"/>
      <c r="D46" s="6"/>
      <c r="E46" s="6"/>
    </row>
    <row r="47" spans="1:5" x14ac:dyDescent="0.25">
      <c r="C47" s="6"/>
      <c r="D47" s="6"/>
      <c r="E47" s="6"/>
    </row>
    <row r="48" spans="1:5" x14ac:dyDescent="0.25">
      <c r="C48" s="6"/>
      <c r="D48" s="6"/>
      <c r="E48" s="6"/>
    </row>
    <row r="49" spans="3:5" x14ac:dyDescent="0.25">
      <c r="C49" s="6"/>
      <c r="D49" s="6"/>
      <c r="E49" s="6"/>
    </row>
    <row r="50" spans="3:5" x14ac:dyDescent="0.25">
      <c r="C50" s="6"/>
      <c r="D50" s="6"/>
      <c r="E50" s="6"/>
    </row>
    <row r="51" spans="3:5" x14ac:dyDescent="0.25">
      <c r="C51" s="6"/>
      <c r="D51" s="6"/>
      <c r="E51" s="6"/>
    </row>
    <row r="52" spans="3:5" x14ac:dyDescent="0.25">
      <c r="C52" s="6"/>
      <c r="D52" s="6"/>
      <c r="E52" s="6"/>
    </row>
    <row r="53" spans="3:5" x14ac:dyDescent="0.25">
      <c r="C53" s="6"/>
      <c r="D53" s="6"/>
      <c r="E53" s="6"/>
    </row>
    <row r="54" spans="3:5" x14ac:dyDescent="0.25">
      <c r="C54" s="6"/>
      <c r="D54" s="6"/>
      <c r="E54" s="6"/>
    </row>
    <row r="55" spans="3:5" x14ac:dyDescent="0.25">
      <c r="C55" s="6"/>
      <c r="D55" s="6"/>
      <c r="E55" s="6"/>
    </row>
    <row r="56" spans="3:5" x14ac:dyDescent="0.25">
      <c r="C56" s="6"/>
      <c r="D56" s="6"/>
      <c r="E56" s="6"/>
    </row>
    <row r="57" spans="3:5" x14ac:dyDescent="0.25">
      <c r="C57" s="6"/>
      <c r="D57" s="6"/>
      <c r="E57" s="6"/>
    </row>
    <row r="58" spans="3:5" x14ac:dyDescent="0.25">
      <c r="C58" s="6"/>
      <c r="D58" s="6"/>
      <c r="E58" s="6"/>
    </row>
    <row r="59" spans="3:5" x14ac:dyDescent="0.25">
      <c r="C59" s="6"/>
      <c r="D59" s="6"/>
      <c r="E59" s="6"/>
    </row>
    <row r="60" spans="3:5" x14ac:dyDescent="0.25">
      <c r="C60" s="6"/>
      <c r="D60" s="6"/>
      <c r="E60" s="6"/>
    </row>
    <row r="61" spans="3:5" x14ac:dyDescent="0.25">
      <c r="C61" s="6"/>
      <c r="D61" s="6"/>
      <c r="E61" s="6"/>
    </row>
    <row r="62" spans="3:5" x14ac:dyDescent="0.25">
      <c r="C62" s="6"/>
      <c r="D62" s="6"/>
      <c r="E62" s="6"/>
    </row>
    <row r="63" spans="3:5" x14ac:dyDescent="0.25">
      <c r="C63" s="6"/>
      <c r="D63" s="6"/>
      <c r="E63" s="6"/>
    </row>
    <row r="64" spans="3:5" x14ac:dyDescent="0.25">
      <c r="C64" s="6"/>
      <c r="D64" s="6"/>
      <c r="E64" s="6"/>
    </row>
    <row r="65" spans="2:5" x14ac:dyDescent="0.25">
      <c r="C65" s="6"/>
      <c r="D65" s="6"/>
      <c r="E65" s="6"/>
    </row>
    <row r="66" spans="2:5" x14ac:dyDescent="0.25">
      <c r="C66" s="6"/>
      <c r="D66" s="6"/>
      <c r="E66" s="6"/>
    </row>
    <row r="67" spans="2:5" x14ac:dyDescent="0.25">
      <c r="C67" s="6"/>
      <c r="D67" s="6"/>
      <c r="E67" s="6"/>
    </row>
    <row r="68" spans="2:5" x14ac:dyDescent="0.25">
      <c r="C68" s="6"/>
      <c r="D68" s="6"/>
      <c r="E68" s="6"/>
    </row>
    <row r="69" spans="2:5" x14ac:dyDescent="0.25">
      <c r="C69" s="6"/>
      <c r="D69" s="6"/>
      <c r="E69" s="6"/>
    </row>
    <row r="70" spans="2:5" x14ac:dyDescent="0.25">
      <c r="C70" s="6"/>
      <c r="D70" s="6"/>
      <c r="E70" s="6"/>
    </row>
    <row r="71" spans="2:5" x14ac:dyDescent="0.25"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C73" s="6"/>
      <c r="D73" s="6"/>
      <c r="E73" s="6"/>
    </row>
    <row r="74" spans="2:5" x14ac:dyDescent="0.25">
      <c r="C74" s="6"/>
      <c r="D74" s="6"/>
      <c r="E74" s="6"/>
    </row>
    <row r="75" spans="2:5" x14ac:dyDescent="0.25">
      <c r="C75" s="6"/>
      <c r="D75" s="6"/>
      <c r="E75" s="6"/>
    </row>
    <row r="76" spans="2:5" x14ac:dyDescent="0.25">
      <c r="C76" s="6"/>
      <c r="D76" s="6"/>
      <c r="E76" s="6"/>
    </row>
    <row r="77" spans="2:5" x14ac:dyDescent="0.25">
      <c r="C77" s="6"/>
      <c r="D77" s="6"/>
      <c r="E77" s="6"/>
    </row>
    <row r="78" spans="2:5" x14ac:dyDescent="0.25">
      <c r="C78" s="6"/>
      <c r="D78" s="6"/>
      <c r="E78" s="6"/>
    </row>
    <row r="79" spans="2:5" x14ac:dyDescent="0.25">
      <c r="C79" s="6"/>
      <c r="D79" s="6"/>
      <c r="E79" s="6"/>
    </row>
    <row r="80" spans="2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45" xr:uid="{6B15B640-EFA4-42ED-9250-1FE82BE7B3FD}"/>
  <mergeCells count="5">
    <mergeCell ref="A2:E2"/>
    <mergeCell ref="B162:D162"/>
    <mergeCell ref="B163:D163"/>
    <mergeCell ref="A44:D44"/>
    <mergeCell ref="A45:D45"/>
  </mergeCells>
  <conditionalFormatting sqref="E1">
    <cfRule type="cellIs" dxfId="25" priority="6" operator="lessThan">
      <formula>0</formula>
    </cfRule>
  </conditionalFormatting>
  <conditionalFormatting sqref="E3:E117">
    <cfRule type="cellIs" dxfId="24" priority="1" operator="lessThan">
      <formula>0</formula>
    </cfRule>
  </conditionalFormatting>
  <conditionalFormatting sqref="E119:E163">
    <cfRule type="cellIs" dxfId="23" priority="4" operator="lessThan">
      <formula>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FD6B-2210-491A-993F-00177130ABB9}">
  <dimension ref="A1:E163"/>
  <sheetViews>
    <sheetView zoomScale="145" zoomScaleNormal="145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46039</v>
      </c>
      <c r="B2" s="88"/>
      <c r="C2" s="88"/>
      <c r="D2" s="88"/>
      <c r="E2" s="88"/>
    </row>
    <row r="3" spans="1:5" x14ac:dyDescent="0.25">
      <c r="A3" s="4">
        <v>1</v>
      </c>
      <c r="B3" s="4" t="s">
        <v>63</v>
      </c>
      <c r="C3" s="6">
        <v>600000</v>
      </c>
      <c r="D3" s="6">
        <v>826050</v>
      </c>
      <c r="E3" s="6">
        <f t="shared" ref="E3:E21" si="0">D3-C3</f>
        <v>226050</v>
      </c>
    </row>
    <row r="4" spans="1:5" x14ac:dyDescent="0.25">
      <c r="A4" s="4">
        <v>2</v>
      </c>
      <c r="B4" s="4" t="s">
        <v>13</v>
      </c>
      <c r="C4" s="6">
        <v>3500000</v>
      </c>
      <c r="D4" s="6">
        <v>3800000</v>
      </c>
      <c r="E4" s="6">
        <f t="shared" si="0"/>
        <v>300000</v>
      </c>
    </row>
    <row r="5" spans="1:5" x14ac:dyDescent="0.25">
      <c r="A5" s="4">
        <v>3</v>
      </c>
      <c r="B5" s="4" t="s">
        <v>33</v>
      </c>
      <c r="C5" s="6">
        <v>2000000</v>
      </c>
      <c r="D5" s="6">
        <v>2280000</v>
      </c>
      <c r="E5" s="6">
        <f t="shared" si="0"/>
        <v>280000</v>
      </c>
    </row>
    <row r="6" spans="1:5" x14ac:dyDescent="0.25">
      <c r="A6" s="4">
        <v>4</v>
      </c>
      <c r="B6" s="4" t="s">
        <v>13</v>
      </c>
      <c r="C6" s="6">
        <v>3800000</v>
      </c>
      <c r="D6" s="6">
        <v>3798943</v>
      </c>
      <c r="E6" s="6">
        <f t="shared" si="0"/>
        <v>-1057</v>
      </c>
    </row>
    <row r="7" spans="1:5" x14ac:dyDescent="0.25">
      <c r="A7" s="4">
        <v>5</v>
      </c>
      <c r="B7" s="4" t="s">
        <v>13</v>
      </c>
      <c r="C7" s="6">
        <v>3800123</v>
      </c>
      <c r="D7" s="6">
        <v>3798943</v>
      </c>
      <c r="E7" s="6">
        <f t="shared" si="0"/>
        <v>-1180</v>
      </c>
    </row>
    <row r="8" spans="1:5" x14ac:dyDescent="0.25">
      <c r="A8" s="4">
        <v>6</v>
      </c>
      <c r="B8" s="4" t="s">
        <v>6</v>
      </c>
      <c r="C8" s="6">
        <v>9000000</v>
      </c>
      <c r="D8" s="6">
        <v>9025000</v>
      </c>
      <c r="E8" s="6">
        <f t="shared" si="0"/>
        <v>25000</v>
      </c>
    </row>
    <row r="9" spans="1:5" x14ac:dyDescent="0.25">
      <c r="A9" s="4">
        <v>7</v>
      </c>
      <c r="B9" s="4" t="s">
        <v>16</v>
      </c>
      <c r="C9" s="6">
        <v>1600000</v>
      </c>
      <c r="D9" s="6">
        <v>1757500</v>
      </c>
      <c r="E9" s="6">
        <f t="shared" si="0"/>
        <v>157500</v>
      </c>
    </row>
    <row r="10" spans="1:5" x14ac:dyDescent="0.25">
      <c r="A10" s="4">
        <v>8</v>
      </c>
      <c r="B10" s="10" t="s">
        <v>5</v>
      </c>
      <c r="C10" s="6">
        <v>6000001</v>
      </c>
      <c r="D10" s="6">
        <v>6079999</v>
      </c>
      <c r="E10" s="6">
        <f t="shared" si="0"/>
        <v>79998</v>
      </c>
    </row>
    <row r="11" spans="1:5" x14ac:dyDescent="0.25">
      <c r="A11" s="4">
        <v>9</v>
      </c>
      <c r="B11" s="4" t="s">
        <v>28</v>
      </c>
      <c r="C11" s="6">
        <v>900000</v>
      </c>
      <c r="D11" s="6">
        <v>1168500</v>
      </c>
      <c r="E11" s="6">
        <f t="shared" si="0"/>
        <v>268500</v>
      </c>
    </row>
    <row r="12" spans="1:5" x14ac:dyDescent="0.25">
      <c r="A12" s="4">
        <v>10</v>
      </c>
      <c r="B12" s="4" t="s">
        <v>16</v>
      </c>
      <c r="C12" s="6">
        <v>1600000</v>
      </c>
      <c r="D12" s="6">
        <v>1899999</v>
      </c>
      <c r="E12" s="6">
        <f t="shared" si="0"/>
        <v>299999</v>
      </c>
    </row>
    <row r="13" spans="1:5" x14ac:dyDescent="0.25">
      <c r="A13" s="4">
        <v>11</v>
      </c>
      <c r="B13" s="4" t="s">
        <v>13</v>
      </c>
      <c r="C13" s="6">
        <v>3500000</v>
      </c>
      <c r="D13" s="6">
        <v>3799999</v>
      </c>
      <c r="E13" s="6">
        <f t="shared" si="0"/>
        <v>299999</v>
      </c>
    </row>
    <row r="14" spans="1:5" x14ac:dyDescent="0.25">
      <c r="A14" s="4">
        <v>12</v>
      </c>
      <c r="B14" s="4" t="s">
        <v>48</v>
      </c>
      <c r="C14" s="6">
        <v>1100000</v>
      </c>
      <c r="D14" s="6">
        <v>1228666</v>
      </c>
      <c r="E14" s="6">
        <f t="shared" si="0"/>
        <v>128666</v>
      </c>
    </row>
    <row r="15" spans="1:5" x14ac:dyDescent="0.25">
      <c r="A15" s="4">
        <v>13</v>
      </c>
      <c r="B15" s="4" t="s">
        <v>33</v>
      </c>
      <c r="C15" s="6">
        <v>2100000</v>
      </c>
      <c r="D15" s="6">
        <v>2232499</v>
      </c>
      <c r="E15" s="6">
        <f t="shared" si="0"/>
        <v>132499</v>
      </c>
    </row>
    <row r="16" spans="1:5" x14ac:dyDescent="0.25">
      <c r="A16" s="4">
        <v>14</v>
      </c>
      <c r="B16" s="4" t="s">
        <v>23</v>
      </c>
      <c r="C16" s="6">
        <v>2050000</v>
      </c>
      <c r="D16" s="6">
        <v>2469999</v>
      </c>
      <c r="E16" s="6">
        <f t="shared" si="0"/>
        <v>419999</v>
      </c>
    </row>
    <row r="17" spans="1:5" x14ac:dyDescent="0.25">
      <c r="A17" s="4">
        <v>15</v>
      </c>
      <c r="B17" s="4" t="s">
        <v>23</v>
      </c>
      <c r="C17" s="6">
        <v>2099999</v>
      </c>
      <c r="D17" s="6">
        <v>2469050</v>
      </c>
      <c r="E17" s="6">
        <f t="shared" si="0"/>
        <v>369051</v>
      </c>
    </row>
    <row r="18" spans="1:5" x14ac:dyDescent="0.25">
      <c r="A18" s="4">
        <v>16</v>
      </c>
      <c r="B18" s="4" t="s">
        <v>23</v>
      </c>
      <c r="C18" s="6">
        <v>2150000</v>
      </c>
      <c r="D18" s="6">
        <v>2469050</v>
      </c>
      <c r="E18" s="6">
        <f t="shared" si="0"/>
        <v>319050</v>
      </c>
    </row>
    <row r="19" spans="1:5" x14ac:dyDescent="0.25">
      <c r="A19" s="4">
        <v>17</v>
      </c>
      <c r="B19" s="4" t="s">
        <v>16</v>
      </c>
      <c r="C19" s="6">
        <v>1600000</v>
      </c>
      <c r="D19" s="6">
        <v>1899999</v>
      </c>
      <c r="E19" s="6">
        <f t="shared" si="0"/>
        <v>299999</v>
      </c>
    </row>
    <row r="20" spans="1:5" x14ac:dyDescent="0.25">
      <c r="A20" s="4">
        <v>18</v>
      </c>
      <c r="B20" s="4" t="s">
        <v>25</v>
      </c>
      <c r="C20" s="6">
        <v>10500000</v>
      </c>
      <c r="D20" s="6">
        <v>10450000</v>
      </c>
      <c r="E20" s="6">
        <f t="shared" si="0"/>
        <v>-50000</v>
      </c>
    </row>
    <row r="21" spans="1:5" x14ac:dyDescent="0.25">
      <c r="A21" s="4">
        <v>19</v>
      </c>
      <c r="B21" s="4" t="s">
        <v>25</v>
      </c>
      <c r="C21" s="6">
        <v>10000000</v>
      </c>
      <c r="D21" s="6">
        <v>10355000</v>
      </c>
      <c r="E21" s="6">
        <f t="shared" si="0"/>
        <v>355000</v>
      </c>
    </row>
    <row r="22" spans="1:5" x14ac:dyDescent="0.25">
      <c r="A22" s="89" t="s">
        <v>8</v>
      </c>
      <c r="B22" s="89"/>
      <c r="C22" s="89"/>
      <c r="D22" s="89"/>
      <c r="E22" s="8">
        <v>182000</v>
      </c>
    </row>
    <row r="23" spans="1:5" x14ac:dyDescent="0.25">
      <c r="A23" s="89" t="s">
        <v>9</v>
      </c>
      <c r="B23" s="89"/>
      <c r="C23" s="89"/>
      <c r="D23" s="89"/>
      <c r="E23" s="8">
        <f>SUM(E3:E21)-E22</f>
        <v>3727073</v>
      </c>
    </row>
    <row r="24" spans="1:5" x14ac:dyDescent="0.25">
      <c r="C24" s="6"/>
      <c r="D24" s="6"/>
      <c r="E24" s="6"/>
    </row>
    <row r="25" spans="1:5" x14ac:dyDescent="0.25">
      <c r="C25" s="6"/>
      <c r="D25" s="6"/>
      <c r="E25" s="6"/>
    </row>
    <row r="26" spans="1:5" x14ac:dyDescent="0.25">
      <c r="C26" s="6"/>
      <c r="D26" s="6"/>
      <c r="E26" s="6"/>
    </row>
    <row r="27" spans="1:5" x14ac:dyDescent="0.25">
      <c r="C27" s="6"/>
      <c r="D27" s="6"/>
      <c r="E27" s="6"/>
    </row>
    <row r="28" spans="1:5" x14ac:dyDescent="0.25">
      <c r="C28" s="6"/>
      <c r="D28" s="6"/>
      <c r="E28" s="6"/>
    </row>
    <row r="29" spans="1:5" x14ac:dyDescent="0.25">
      <c r="C29" s="6"/>
      <c r="D29" s="6"/>
      <c r="E29" s="6"/>
    </row>
    <row r="30" spans="1:5" x14ac:dyDescent="0.25">
      <c r="C30" s="6"/>
      <c r="D30" s="6"/>
      <c r="E30" s="6"/>
    </row>
    <row r="31" spans="1:5" x14ac:dyDescent="0.25">
      <c r="C31" s="6"/>
      <c r="D31" s="6"/>
      <c r="E31" s="6"/>
    </row>
    <row r="32" spans="1:5" x14ac:dyDescent="0.25">
      <c r="C32" s="6"/>
      <c r="D32" s="7"/>
      <c r="E32" s="6"/>
    </row>
    <row r="33" spans="2:5" x14ac:dyDescent="0.25">
      <c r="C33" s="6"/>
      <c r="D33" s="6"/>
      <c r="E33" s="6"/>
    </row>
    <row r="34" spans="2:5" x14ac:dyDescent="0.25">
      <c r="C34" s="6"/>
      <c r="D34" s="6"/>
      <c r="E34" s="6"/>
    </row>
    <row r="35" spans="2:5" x14ac:dyDescent="0.25">
      <c r="C35" s="6"/>
      <c r="D35" s="6"/>
      <c r="E35" s="6"/>
    </row>
    <row r="36" spans="2:5" x14ac:dyDescent="0.25">
      <c r="C36" s="6"/>
      <c r="D36" s="6"/>
      <c r="E36" s="6"/>
    </row>
    <row r="37" spans="2:5" x14ac:dyDescent="0.25">
      <c r="C37" s="6"/>
      <c r="D37" s="6"/>
      <c r="E37" s="6"/>
    </row>
    <row r="38" spans="2:5" x14ac:dyDescent="0.25">
      <c r="C38" s="6"/>
      <c r="D38" s="6"/>
      <c r="E38" s="6"/>
    </row>
    <row r="39" spans="2:5" x14ac:dyDescent="0.25">
      <c r="B39" s="9"/>
      <c r="C39" s="9"/>
      <c r="D39" s="9"/>
      <c r="E39" s="8"/>
    </row>
    <row r="40" spans="2:5" x14ac:dyDescent="0.25">
      <c r="B40" s="9"/>
      <c r="C40" s="9"/>
      <c r="D40" s="9"/>
      <c r="E40" s="8"/>
    </row>
    <row r="41" spans="2:5" x14ac:dyDescent="0.25">
      <c r="B41" s="10"/>
      <c r="C41" s="6"/>
      <c r="D41" s="6"/>
      <c r="E41" s="6"/>
    </row>
    <row r="42" spans="2:5" x14ac:dyDescent="0.25">
      <c r="B42" s="10"/>
      <c r="C42" s="6"/>
      <c r="D42" s="6"/>
      <c r="E42" s="6"/>
    </row>
    <row r="43" spans="2:5" x14ac:dyDescent="0.25">
      <c r="C43" s="6"/>
      <c r="D43" s="6"/>
      <c r="E43" s="6"/>
    </row>
    <row r="44" spans="2:5" x14ac:dyDescent="0.25">
      <c r="C44" s="6"/>
      <c r="D44" s="6"/>
      <c r="E44" s="6"/>
    </row>
    <row r="45" spans="2:5" x14ac:dyDescent="0.25">
      <c r="C45" s="6"/>
      <c r="D45" s="6"/>
      <c r="E45" s="6"/>
    </row>
    <row r="46" spans="2:5" x14ac:dyDescent="0.25">
      <c r="C46" s="6"/>
      <c r="D46" s="6"/>
      <c r="E46" s="6"/>
    </row>
    <row r="47" spans="2:5" x14ac:dyDescent="0.25">
      <c r="C47" s="6"/>
      <c r="D47" s="6"/>
      <c r="E47" s="6"/>
    </row>
    <row r="48" spans="2:5" x14ac:dyDescent="0.25">
      <c r="C48" s="6"/>
      <c r="D48" s="6"/>
      <c r="E48" s="6"/>
    </row>
    <row r="49" spans="3:5" x14ac:dyDescent="0.25">
      <c r="C49" s="6"/>
      <c r="D49" s="6"/>
      <c r="E49" s="6"/>
    </row>
    <row r="50" spans="3:5" x14ac:dyDescent="0.25">
      <c r="C50" s="6"/>
      <c r="D50" s="6"/>
      <c r="E50" s="6"/>
    </row>
    <row r="51" spans="3:5" x14ac:dyDescent="0.25">
      <c r="C51" s="6"/>
      <c r="D51" s="6"/>
      <c r="E51" s="6"/>
    </row>
    <row r="52" spans="3:5" x14ac:dyDescent="0.25">
      <c r="C52" s="6"/>
      <c r="D52" s="6"/>
      <c r="E52" s="6"/>
    </row>
    <row r="53" spans="3:5" x14ac:dyDescent="0.25">
      <c r="C53" s="6"/>
      <c r="D53" s="6"/>
      <c r="E53" s="6"/>
    </row>
    <row r="54" spans="3:5" x14ac:dyDescent="0.25">
      <c r="C54" s="6"/>
      <c r="D54" s="6"/>
      <c r="E54" s="6"/>
    </row>
    <row r="55" spans="3:5" x14ac:dyDescent="0.25">
      <c r="C55" s="6"/>
      <c r="D55" s="6"/>
      <c r="E55" s="6"/>
    </row>
    <row r="56" spans="3:5" x14ac:dyDescent="0.25">
      <c r="C56" s="6"/>
      <c r="D56" s="6"/>
      <c r="E56" s="6"/>
    </row>
    <row r="57" spans="3:5" x14ac:dyDescent="0.25">
      <c r="C57" s="6"/>
      <c r="D57" s="6"/>
      <c r="E57" s="6"/>
    </row>
    <row r="58" spans="3:5" x14ac:dyDescent="0.25">
      <c r="C58" s="6"/>
      <c r="D58" s="6"/>
      <c r="E58" s="6"/>
    </row>
    <row r="59" spans="3:5" x14ac:dyDescent="0.25">
      <c r="C59" s="6"/>
      <c r="D59" s="6"/>
      <c r="E59" s="6"/>
    </row>
    <row r="60" spans="3:5" x14ac:dyDescent="0.25">
      <c r="C60" s="6"/>
      <c r="D60" s="6"/>
      <c r="E60" s="6"/>
    </row>
    <row r="61" spans="3:5" x14ac:dyDescent="0.25">
      <c r="C61" s="6"/>
      <c r="D61" s="6"/>
      <c r="E61" s="6"/>
    </row>
    <row r="62" spans="3:5" x14ac:dyDescent="0.25">
      <c r="C62" s="6"/>
      <c r="D62" s="6"/>
      <c r="E62" s="6"/>
    </row>
    <row r="63" spans="3:5" x14ac:dyDescent="0.25">
      <c r="C63" s="6"/>
      <c r="D63" s="6"/>
      <c r="E63" s="6"/>
    </row>
    <row r="64" spans="3:5" x14ac:dyDescent="0.25">
      <c r="C64" s="6"/>
      <c r="D64" s="6"/>
      <c r="E64" s="6"/>
    </row>
    <row r="65" spans="2:5" x14ac:dyDescent="0.25">
      <c r="C65" s="6"/>
      <c r="D65" s="6"/>
      <c r="E65" s="6"/>
    </row>
    <row r="66" spans="2:5" x14ac:dyDescent="0.25">
      <c r="C66" s="6"/>
      <c r="D66" s="6"/>
      <c r="E66" s="6"/>
    </row>
    <row r="67" spans="2:5" x14ac:dyDescent="0.25">
      <c r="C67" s="6"/>
      <c r="D67" s="6"/>
      <c r="E67" s="6"/>
    </row>
    <row r="68" spans="2:5" x14ac:dyDescent="0.25">
      <c r="C68" s="6"/>
      <c r="D68" s="6"/>
      <c r="E68" s="6"/>
    </row>
    <row r="69" spans="2:5" x14ac:dyDescent="0.25">
      <c r="C69" s="6"/>
      <c r="D69" s="6"/>
      <c r="E69" s="6"/>
    </row>
    <row r="70" spans="2:5" x14ac:dyDescent="0.25">
      <c r="C70" s="6"/>
      <c r="D70" s="6"/>
      <c r="E70" s="6"/>
    </row>
    <row r="71" spans="2:5" x14ac:dyDescent="0.25"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C73" s="6"/>
      <c r="D73" s="6"/>
      <c r="E73" s="6"/>
    </row>
    <row r="74" spans="2:5" x14ac:dyDescent="0.25">
      <c r="C74" s="6"/>
      <c r="D74" s="6"/>
      <c r="E74" s="6"/>
    </row>
    <row r="75" spans="2:5" x14ac:dyDescent="0.25">
      <c r="C75" s="6"/>
      <c r="D75" s="6"/>
      <c r="E75" s="6"/>
    </row>
    <row r="76" spans="2:5" x14ac:dyDescent="0.25">
      <c r="C76" s="6"/>
      <c r="D76" s="6"/>
      <c r="E76" s="6"/>
    </row>
    <row r="77" spans="2:5" x14ac:dyDescent="0.25">
      <c r="C77" s="6"/>
      <c r="D77" s="6"/>
      <c r="E77" s="6"/>
    </row>
    <row r="78" spans="2:5" x14ac:dyDescent="0.25">
      <c r="C78" s="6"/>
      <c r="D78" s="6"/>
      <c r="E78" s="6"/>
    </row>
    <row r="79" spans="2:5" x14ac:dyDescent="0.25">
      <c r="C79" s="6"/>
      <c r="D79" s="6"/>
      <c r="E79" s="6"/>
    </row>
    <row r="80" spans="2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23" xr:uid="{D399FD6B-2210-491A-993F-00177130ABB9}"/>
  <mergeCells count="5">
    <mergeCell ref="A2:E2"/>
    <mergeCell ref="B162:D162"/>
    <mergeCell ref="B163:D163"/>
    <mergeCell ref="A22:D22"/>
    <mergeCell ref="A23:D23"/>
  </mergeCells>
  <conditionalFormatting sqref="E1">
    <cfRule type="cellIs" dxfId="22" priority="5" operator="lessThan">
      <formula>0</formula>
    </cfRule>
  </conditionalFormatting>
  <conditionalFormatting sqref="E3:E117">
    <cfRule type="cellIs" dxfId="21" priority="1" operator="lessThan">
      <formula>0</formula>
    </cfRule>
  </conditionalFormatting>
  <conditionalFormatting sqref="E119:E163">
    <cfRule type="cellIs" dxfId="20" priority="3" operator="lessThan">
      <formula>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28DE3-80B9-41C2-8D87-7B88BBB8C305}">
  <dimension ref="A1:E163"/>
  <sheetViews>
    <sheetView zoomScale="145" zoomScaleNormal="145" workbookViewId="0">
      <pane ySplit="1" topLeftCell="A8" activePane="bottomLeft" state="frozen"/>
      <selection pane="bottomLeft" activeCell="F32" sqref="F32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46038</v>
      </c>
      <c r="B2" s="88"/>
      <c r="C2" s="88"/>
      <c r="D2" s="88"/>
      <c r="E2" s="88"/>
    </row>
    <row r="3" spans="1:5" x14ac:dyDescent="0.25">
      <c r="A3" s="4">
        <v>1</v>
      </c>
      <c r="B3" s="10" t="s">
        <v>27</v>
      </c>
      <c r="C3" s="6">
        <v>3600001</v>
      </c>
      <c r="D3" s="6">
        <v>3790500</v>
      </c>
      <c r="E3" s="6">
        <f t="shared" ref="E3:E38" si="0">D3-C3</f>
        <v>190499</v>
      </c>
    </row>
    <row r="4" spans="1:5" x14ac:dyDescent="0.25">
      <c r="A4" s="4">
        <v>2</v>
      </c>
      <c r="B4" s="4" t="s">
        <v>16</v>
      </c>
      <c r="C4" s="6">
        <v>1550000</v>
      </c>
      <c r="D4" s="6">
        <v>1710000</v>
      </c>
      <c r="E4" s="6">
        <f t="shared" si="0"/>
        <v>160000</v>
      </c>
    </row>
    <row r="5" spans="1:5" x14ac:dyDescent="0.25">
      <c r="A5" s="4">
        <v>3</v>
      </c>
      <c r="B5" s="4" t="s">
        <v>16</v>
      </c>
      <c r="C5" s="6">
        <v>1349999</v>
      </c>
      <c r="D5" s="6">
        <v>1710000</v>
      </c>
      <c r="E5" s="6">
        <f t="shared" si="0"/>
        <v>360001</v>
      </c>
    </row>
    <row r="6" spans="1:5" x14ac:dyDescent="0.25">
      <c r="A6" s="4">
        <v>4</v>
      </c>
      <c r="B6" s="4" t="s">
        <v>7</v>
      </c>
      <c r="C6" s="6">
        <v>13299999</v>
      </c>
      <c r="D6" s="6">
        <v>13931110</v>
      </c>
      <c r="E6" s="6">
        <f t="shared" si="0"/>
        <v>631111</v>
      </c>
    </row>
    <row r="7" spans="1:5" x14ac:dyDescent="0.25">
      <c r="A7" s="4">
        <v>5</v>
      </c>
      <c r="B7" s="4" t="s">
        <v>34</v>
      </c>
      <c r="C7" s="6">
        <v>4550000</v>
      </c>
      <c r="D7" s="6">
        <v>4702500</v>
      </c>
      <c r="E7" s="6">
        <f t="shared" si="0"/>
        <v>152500</v>
      </c>
    </row>
    <row r="8" spans="1:5" x14ac:dyDescent="0.25">
      <c r="A8" s="4">
        <v>6</v>
      </c>
      <c r="B8" s="4" t="s">
        <v>43</v>
      </c>
      <c r="C8" s="6">
        <v>1001000</v>
      </c>
      <c r="D8" s="6">
        <v>1139788</v>
      </c>
      <c r="E8" s="6">
        <f>D8-C8</f>
        <v>138788</v>
      </c>
    </row>
    <row r="9" spans="1:5" x14ac:dyDescent="0.25">
      <c r="A9" s="4">
        <v>7</v>
      </c>
      <c r="B9" s="10" t="s">
        <v>23</v>
      </c>
      <c r="C9" s="6">
        <v>2222222</v>
      </c>
      <c r="D9" s="6">
        <v>2469999</v>
      </c>
      <c r="E9" s="6">
        <f>D9-C9</f>
        <v>247777</v>
      </c>
    </row>
    <row r="10" spans="1:5" x14ac:dyDescent="0.25">
      <c r="A10" s="4">
        <v>8</v>
      </c>
      <c r="B10" s="4" t="s">
        <v>6</v>
      </c>
      <c r="C10" s="6">
        <v>9200000</v>
      </c>
      <c r="D10" s="6">
        <v>9310000</v>
      </c>
      <c r="E10" s="6">
        <f>D10-C10</f>
        <v>110000</v>
      </c>
    </row>
    <row r="11" spans="1:5" x14ac:dyDescent="0.25">
      <c r="A11" s="4">
        <v>9</v>
      </c>
      <c r="B11" s="4" t="s">
        <v>43</v>
      </c>
      <c r="C11" s="6">
        <v>1000000</v>
      </c>
      <c r="D11" s="6">
        <v>1139788</v>
      </c>
      <c r="E11" s="6">
        <f t="shared" si="0"/>
        <v>139788</v>
      </c>
    </row>
    <row r="12" spans="1:5" x14ac:dyDescent="0.25">
      <c r="A12" s="4">
        <v>10</v>
      </c>
      <c r="B12" s="10" t="s">
        <v>5</v>
      </c>
      <c r="C12" s="6">
        <v>5850000</v>
      </c>
      <c r="D12" s="6">
        <v>6094110</v>
      </c>
      <c r="E12" s="6">
        <f t="shared" si="0"/>
        <v>244110</v>
      </c>
    </row>
    <row r="13" spans="1:5" x14ac:dyDescent="0.25">
      <c r="A13" s="4">
        <v>11</v>
      </c>
      <c r="B13" s="4" t="s">
        <v>53</v>
      </c>
      <c r="C13" s="6">
        <v>600000</v>
      </c>
      <c r="D13" s="6">
        <v>665000</v>
      </c>
      <c r="E13" s="6">
        <f t="shared" si="0"/>
        <v>65000</v>
      </c>
    </row>
    <row r="14" spans="1:5" x14ac:dyDescent="0.25">
      <c r="A14" s="4">
        <v>12</v>
      </c>
      <c r="B14" s="4" t="s">
        <v>53</v>
      </c>
      <c r="C14" s="6">
        <v>550000</v>
      </c>
      <c r="D14" s="6">
        <v>675451</v>
      </c>
      <c r="E14" s="6">
        <f t="shared" si="0"/>
        <v>125451</v>
      </c>
    </row>
    <row r="15" spans="1:5" x14ac:dyDescent="0.25">
      <c r="A15" s="4">
        <v>13</v>
      </c>
      <c r="B15" s="4" t="s">
        <v>40</v>
      </c>
      <c r="C15" s="6">
        <v>610000</v>
      </c>
      <c r="D15" s="6">
        <v>665000</v>
      </c>
      <c r="E15" s="6">
        <f t="shared" si="0"/>
        <v>55000</v>
      </c>
    </row>
    <row r="16" spans="1:5" x14ac:dyDescent="0.25">
      <c r="A16" s="4">
        <v>14</v>
      </c>
      <c r="B16" s="4" t="s">
        <v>6</v>
      </c>
      <c r="C16" s="6">
        <v>9000000</v>
      </c>
      <c r="D16" s="6">
        <v>9025000</v>
      </c>
      <c r="E16" s="6">
        <f t="shared" si="0"/>
        <v>25000</v>
      </c>
    </row>
    <row r="17" spans="1:5" x14ac:dyDescent="0.25">
      <c r="A17" s="4">
        <v>15</v>
      </c>
      <c r="B17" s="4" t="s">
        <v>41</v>
      </c>
      <c r="C17" s="6">
        <v>1499000</v>
      </c>
      <c r="D17" s="6">
        <v>1653000</v>
      </c>
      <c r="E17" s="6">
        <f t="shared" si="0"/>
        <v>154000</v>
      </c>
    </row>
    <row r="18" spans="1:5" x14ac:dyDescent="0.25">
      <c r="A18" s="4">
        <v>16</v>
      </c>
      <c r="B18" s="4" t="s">
        <v>6</v>
      </c>
      <c r="C18" s="6">
        <v>9000000</v>
      </c>
      <c r="D18" s="6">
        <v>9215000</v>
      </c>
      <c r="E18" s="6">
        <f t="shared" si="0"/>
        <v>215000</v>
      </c>
    </row>
    <row r="19" spans="1:5" x14ac:dyDescent="0.25">
      <c r="A19" s="4">
        <v>17</v>
      </c>
      <c r="B19" s="4" t="s">
        <v>27</v>
      </c>
      <c r="C19" s="6">
        <v>3700000</v>
      </c>
      <c r="D19" s="6">
        <v>3800000</v>
      </c>
      <c r="E19" s="6">
        <f t="shared" si="0"/>
        <v>100000</v>
      </c>
    </row>
    <row r="20" spans="1:5" x14ac:dyDescent="0.25">
      <c r="A20" s="4">
        <v>18</v>
      </c>
      <c r="B20" s="4" t="s">
        <v>27</v>
      </c>
      <c r="C20" s="6">
        <v>3699999</v>
      </c>
      <c r="D20" s="6">
        <v>3800000</v>
      </c>
      <c r="E20" s="6">
        <f t="shared" si="0"/>
        <v>100001</v>
      </c>
    </row>
    <row r="21" spans="1:5" x14ac:dyDescent="0.25">
      <c r="A21" s="4">
        <v>19</v>
      </c>
      <c r="B21" s="4" t="s">
        <v>41</v>
      </c>
      <c r="C21" s="6">
        <v>1560000</v>
      </c>
      <c r="D21" s="6">
        <v>1560000</v>
      </c>
      <c r="E21" s="6">
        <f t="shared" si="0"/>
        <v>0</v>
      </c>
    </row>
    <row r="22" spans="1:5" x14ac:dyDescent="0.25">
      <c r="A22" s="4">
        <v>20</v>
      </c>
      <c r="B22" s="4" t="s">
        <v>43</v>
      </c>
      <c r="C22" s="6">
        <v>1111111</v>
      </c>
      <c r="D22" s="6">
        <v>1140000</v>
      </c>
      <c r="E22" s="6">
        <f t="shared" si="0"/>
        <v>28889</v>
      </c>
    </row>
    <row r="23" spans="1:5" x14ac:dyDescent="0.25">
      <c r="A23" s="4">
        <v>21</v>
      </c>
      <c r="B23" s="4" t="s">
        <v>16</v>
      </c>
      <c r="C23" s="6">
        <v>1500000</v>
      </c>
      <c r="D23" s="6">
        <v>1786000</v>
      </c>
      <c r="E23" s="6">
        <f t="shared" si="0"/>
        <v>286000</v>
      </c>
    </row>
    <row r="24" spans="1:5" x14ac:dyDescent="0.25">
      <c r="A24" s="4">
        <v>22</v>
      </c>
      <c r="B24" s="4" t="s">
        <v>43</v>
      </c>
      <c r="C24" s="6">
        <v>1050000</v>
      </c>
      <c r="D24" s="6">
        <v>1167550</v>
      </c>
      <c r="E24" s="6">
        <f t="shared" si="0"/>
        <v>117550</v>
      </c>
    </row>
    <row r="25" spans="1:5" x14ac:dyDescent="0.25">
      <c r="A25" s="4">
        <v>23</v>
      </c>
      <c r="B25" s="4" t="s">
        <v>16</v>
      </c>
      <c r="C25" s="6">
        <v>1499999</v>
      </c>
      <c r="D25" s="6">
        <v>1794443</v>
      </c>
      <c r="E25" s="6">
        <f t="shared" si="0"/>
        <v>294444</v>
      </c>
    </row>
    <row r="26" spans="1:5" x14ac:dyDescent="0.25">
      <c r="A26" s="4">
        <v>24</v>
      </c>
      <c r="B26" s="4" t="s">
        <v>16</v>
      </c>
      <c r="C26" s="6">
        <v>1500000</v>
      </c>
      <c r="D26" s="6">
        <v>1761722</v>
      </c>
      <c r="E26" s="6">
        <f t="shared" si="0"/>
        <v>261722</v>
      </c>
    </row>
    <row r="27" spans="1:5" x14ac:dyDescent="0.25">
      <c r="A27" s="4">
        <v>25</v>
      </c>
      <c r="B27" s="4" t="s">
        <v>6</v>
      </c>
      <c r="C27" s="6">
        <v>8500000</v>
      </c>
      <c r="D27" s="6">
        <v>8739999</v>
      </c>
      <c r="E27" s="6">
        <f t="shared" si="0"/>
        <v>239999</v>
      </c>
    </row>
    <row r="28" spans="1:5" x14ac:dyDescent="0.25">
      <c r="A28" s="4">
        <v>26</v>
      </c>
      <c r="B28" s="4" t="s">
        <v>16</v>
      </c>
      <c r="C28" s="6">
        <v>1500000</v>
      </c>
      <c r="D28" s="6">
        <v>1762777</v>
      </c>
      <c r="E28" s="6">
        <f t="shared" si="0"/>
        <v>262777</v>
      </c>
    </row>
    <row r="29" spans="1:5" x14ac:dyDescent="0.25">
      <c r="A29" s="4">
        <v>27</v>
      </c>
      <c r="B29" s="4" t="s">
        <v>23</v>
      </c>
      <c r="C29" s="6">
        <v>2070000</v>
      </c>
      <c r="D29" s="6">
        <v>2280000</v>
      </c>
      <c r="E29" s="6">
        <f t="shared" si="0"/>
        <v>210000</v>
      </c>
    </row>
    <row r="30" spans="1:5" x14ac:dyDescent="0.25">
      <c r="A30" s="4">
        <v>28</v>
      </c>
      <c r="B30" s="4" t="s">
        <v>23</v>
      </c>
      <c r="C30" s="6">
        <v>1999999</v>
      </c>
      <c r="D30" s="6">
        <v>2336050</v>
      </c>
      <c r="E30" s="6">
        <f t="shared" si="0"/>
        <v>336051</v>
      </c>
    </row>
    <row r="31" spans="1:5" x14ac:dyDescent="0.25">
      <c r="A31" s="4">
        <v>29</v>
      </c>
      <c r="B31" s="4" t="s">
        <v>16</v>
      </c>
      <c r="C31" s="6">
        <v>1500000</v>
      </c>
      <c r="D31" s="6">
        <v>1757500</v>
      </c>
      <c r="E31" s="6">
        <f t="shared" si="0"/>
        <v>257500</v>
      </c>
    </row>
    <row r="32" spans="1:5" x14ac:dyDescent="0.25">
      <c r="A32" s="4">
        <v>30</v>
      </c>
      <c r="B32" s="4" t="s">
        <v>16</v>
      </c>
      <c r="C32" s="6">
        <v>1450000</v>
      </c>
      <c r="D32" s="7">
        <v>1757500</v>
      </c>
      <c r="E32" s="6">
        <f t="shared" si="0"/>
        <v>307500</v>
      </c>
    </row>
    <row r="33" spans="1:5" x14ac:dyDescent="0.25">
      <c r="A33" s="4">
        <v>31</v>
      </c>
      <c r="B33" s="4" t="s">
        <v>16</v>
      </c>
      <c r="C33" s="6">
        <v>1500000</v>
      </c>
      <c r="D33" s="6">
        <v>1786000</v>
      </c>
      <c r="E33" s="6">
        <f t="shared" si="0"/>
        <v>286000</v>
      </c>
    </row>
    <row r="34" spans="1:5" x14ac:dyDescent="0.25">
      <c r="A34" s="4">
        <v>32</v>
      </c>
      <c r="B34" s="4" t="s">
        <v>55</v>
      </c>
      <c r="C34" s="6">
        <v>555555</v>
      </c>
      <c r="D34" s="6">
        <v>744000</v>
      </c>
      <c r="E34" s="6">
        <f t="shared" si="0"/>
        <v>188445</v>
      </c>
    </row>
    <row r="35" spans="1:5" x14ac:dyDescent="0.25">
      <c r="A35" s="4">
        <v>33</v>
      </c>
      <c r="B35" s="4" t="s">
        <v>16</v>
      </c>
      <c r="C35" s="6">
        <v>1550000</v>
      </c>
      <c r="D35" s="6">
        <v>1786000</v>
      </c>
      <c r="E35" s="6">
        <f t="shared" si="0"/>
        <v>236000</v>
      </c>
    </row>
    <row r="36" spans="1:5" x14ac:dyDescent="0.25">
      <c r="A36" s="4">
        <v>34</v>
      </c>
      <c r="B36" s="4" t="s">
        <v>26</v>
      </c>
      <c r="C36" s="6">
        <v>1700000</v>
      </c>
      <c r="D36" s="6">
        <v>1900000</v>
      </c>
      <c r="E36" s="6">
        <f t="shared" si="0"/>
        <v>200000</v>
      </c>
    </row>
    <row r="37" spans="1:5" x14ac:dyDescent="0.25">
      <c r="A37" s="4">
        <v>35</v>
      </c>
      <c r="B37" s="4" t="s">
        <v>26</v>
      </c>
      <c r="C37" s="6">
        <v>1700000</v>
      </c>
      <c r="D37" s="6">
        <v>1900000</v>
      </c>
      <c r="E37" s="6">
        <f t="shared" si="0"/>
        <v>200000</v>
      </c>
    </row>
    <row r="38" spans="1:5" x14ac:dyDescent="0.25">
      <c r="A38" s="4">
        <v>36</v>
      </c>
      <c r="B38" s="4" t="s">
        <v>26</v>
      </c>
      <c r="C38" s="6">
        <v>1700000</v>
      </c>
      <c r="D38" s="6">
        <v>1900000</v>
      </c>
      <c r="E38" s="6">
        <f t="shared" si="0"/>
        <v>200000</v>
      </c>
    </row>
    <row r="39" spans="1:5" x14ac:dyDescent="0.25">
      <c r="A39" s="89" t="s">
        <v>8</v>
      </c>
      <c r="B39" s="89"/>
      <c r="C39" s="89"/>
      <c r="D39" s="89"/>
      <c r="E39" s="8">
        <v>1409998</v>
      </c>
    </row>
    <row r="40" spans="1:5" x14ac:dyDescent="0.25">
      <c r="A40" s="89" t="s">
        <v>9</v>
      </c>
      <c r="B40" s="89"/>
      <c r="C40" s="89"/>
      <c r="D40" s="89"/>
      <c r="E40" s="8">
        <f>SUM(E3:E37)-E39</f>
        <v>5516905</v>
      </c>
    </row>
    <row r="41" spans="1:5" x14ac:dyDescent="0.25">
      <c r="B41" s="10"/>
      <c r="C41" s="6"/>
      <c r="D41" s="6"/>
      <c r="E41" s="6"/>
    </row>
    <row r="42" spans="1:5" x14ac:dyDescent="0.25">
      <c r="B42" s="10"/>
      <c r="C42" s="6"/>
      <c r="D42" s="6"/>
      <c r="E42" s="6"/>
    </row>
    <row r="43" spans="1:5" x14ac:dyDescent="0.25">
      <c r="C43" s="6"/>
      <c r="D43" s="6"/>
      <c r="E43" s="6"/>
    </row>
    <row r="44" spans="1:5" x14ac:dyDescent="0.25">
      <c r="C44" s="6"/>
      <c r="D44" s="6"/>
      <c r="E44" s="6"/>
    </row>
    <row r="45" spans="1:5" x14ac:dyDescent="0.25">
      <c r="C45" s="6"/>
      <c r="D45" s="6"/>
      <c r="E45" s="6"/>
    </row>
    <row r="46" spans="1:5" x14ac:dyDescent="0.25">
      <c r="C46" s="6"/>
      <c r="D46" s="6"/>
      <c r="E46" s="6"/>
    </row>
    <row r="47" spans="1:5" x14ac:dyDescent="0.25">
      <c r="C47" s="6"/>
      <c r="D47" s="6"/>
      <c r="E47" s="6"/>
    </row>
    <row r="48" spans="1:5" x14ac:dyDescent="0.25">
      <c r="C48" s="6"/>
      <c r="D48" s="6"/>
      <c r="E48" s="6"/>
    </row>
    <row r="49" spans="3:5" x14ac:dyDescent="0.25">
      <c r="C49" s="6"/>
      <c r="D49" s="6"/>
      <c r="E49" s="6"/>
    </row>
    <row r="50" spans="3:5" x14ac:dyDescent="0.25">
      <c r="C50" s="6"/>
      <c r="D50" s="6"/>
      <c r="E50" s="6"/>
    </row>
    <row r="51" spans="3:5" x14ac:dyDescent="0.25">
      <c r="C51" s="6"/>
      <c r="D51" s="6"/>
      <c r="E51" s="6"/>
    </row>
    <row r="52" spans="3:5" x14ac:dyDescent="0.25">
      <c r="C52" s="6"/>
      <c r="D52" s="6"/>
      <c r="E52" s="6"/>
    </row>
    <row r="53" spans="3:5" x14ac:dyDescent="0.25">
      <c r="C53" s="6"/>
      <c r="D53" s="6"/>
      <c r="E53" s="6"/>
    </row>
    <row r="54" spans="3:5" x14ac:dyDescent="0.25">
      <c r="C54" s="6"/>
      <c r="D54" s="6"/>
      <c r="E54" s="6"/>
    </row>
    <row r="55" spans="3:5" x14ac:dyDescent="0.25">
      <c r="C55" s="6"/>
      <c r="D55" s="6"/>
      <c r="E55" s="6"/>
    </row>
    <row r="56" spans="3:5" x14ac:dyDescent="0.25">
      <c r="C56" s="6"/>
      <c r="D56" s="6"/>
      <c r="E56" s="6"/>
    </row>
    <row r="57" spans="3:5" x14ac:dyDescent="0.25">
      <c r="C57" s="6"/>
      <c r="D57" s="6"/>
      <c r="E57" s="6"/>
    </row>
    <row r="58" spans="3:5" x14ac:dyDescent="0.25">
      <c r="C58" s="6"/>
      <c r="D58" s="6"/>
      <c r="E58" s="6"/>
    </row>
    <row r="59" spans="3:5" x14ac:dyDescent="0.25">
      <c r="C59" s="6"/>
      <c r="D59" s="6"/>
      <c r="E59" s="6"/>
    </row>
    <row r="60" spans="3:5" x14ac:dyDescent="0.25">
      <c r="C60" s="6"/>
      <c r="D60" s="6"/>
      <c r="E60" s="6"/>
    </row>
    <row r="61" spans="3:5" x14ac:dyDescent="0.25">
      <c r="C61" s="6"/>
      <c r="D61" s="6"/>
      <c r="E61" s="6"/>
    </row>
    <row r="62" spans="3:5" x14ac:dyDescent="0.25">
      <c r="C62" s="6"/>
      <c r="D62" s="6"/>
      <c r="E62" s="6"/>
    </row>
    <row r="63" spans="3:5" x14ac:dyDescent="0.25">
      <c r="C63" s="6"/>
      <c r="D63" s="6"/>
      <c r="E63" s="6"/>
    </row>
    <row r="64" spans="3:5" x14ac:dyDescent="0.25">
      <c r="C64" s="6"/>
      <c r="D64" s="6"/>
      <c r="E64" s="6"/>
    </row>
    <row r="65" spans="2:5" x14ac:dyDescent="0.25">
      <c r="C65" s="6"/>
      <c r="D65" s="6"/>
      <c r="E65" s="6"/>
    </row>
    <row r="66" spans="2:5" x14ac:dyDescent="0.25">
      <c r="C66" s="6"/>
      <c r="D66" s="6"/>
      <c r="E66" s="6"/>
    </row>
    <row r="67" spans="2:5" x14ac:dyDescent="0.25">
      <c r="C67" s="6"/>
      <c r="D67" s="6"/>
      <c r="E67" s="6"/>
    </row>
    <row r="68" spans="2:5" x14ac:dyDescent="0.25">
      <c r="C68" s="6"/>
      <c r="D68" s="6"/>
      <c r="E68" s="6"/>
    </row>
    <row r="69" spans="2:5" x14ac:dyDescent="0.25">
      <c r="C69" s="6"/>
      <c r="D69" s="6"/>
      <c r="E69" s="6"/>
    </row>
    <row r="70" spans="2:5" x14ac:dyDescent="0.25">
      <c r="C70" s="6"/>
      <c r="D70" s="6"/>
      <c r="E70" s="6"/>
    </row>
    <row r="71" spans="2:5" x14ac:dyDescent="0.25"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C73" s="6"/>
      <c r="D73" s="6"/>
      <c r="E73" s="6"/>
    </row>
    <row r="74" spans="2:5" x14ac:dyDescent="0.25">
      <c r="C74" s="6"/>
      <c r="D74" s="6"/>
      <c r="E74" s="6"/>
    </row>
    <row r="75" spans="2:5" x14ac:dyDescent="0.25">
      <c r="C75" s="6"/>
      <c r="D75" s="6"/>
      <c r="E75" s="6"/>
    </row>
    <row r="76" spans="2:5" x14ac:dyDescent="0.25">
      <c r="C76" s="6"/>
      <c r="D76" s="6"/>
      <c r="E76" s="6"/>
    </row>
    <row r="77" spans="2:5" x14ac:dyDescent="0.25">
      <c r="C77" s="6"/>
      <c r="D77" s="6"/>
      <c r="E77" s="6"/>
    </row>
    <row r="78" spans="2:5" x14ac:dyDescent="0.25">
      <c r="C78" s="6"/>
      <c r="D78" s="6"/>
      <c r="E78" s="6"/>
    </row>
    <row r="79" spans="2:5" x14ac:dyDescent="0.25">
      <c r="C79" s="6"/>
      <c r="D79" s="6"/>
      <c r="E79" s="6"/>
    </row>
    <row r="80" spans="2:5" x14ac:dyDescent="0.25">
      <c r="C80" s="6"/>
      <c r="D80" s="6"/>
      <c r="E80" s="6"/>
    </row>
    <row r="81" spans="3:5" x14ac:dyDescent="0.25">
      <c r="C81" s="6"/>
      <c r="D81" s="6"/>
      <c r="E81" s="6"/>
    </row>
    <row r="82" spans="3:5" x14ac:dyDescent="0.25">
      <c r="C82" s="6"/>
      <c r="D82" s="6"/>
      <c r="E82" s="6"/>
    </row>
    <row r="83" spans="3:5" x14ac:dyDescent="0.25">
      <c r="C83" s="6"/>
      <c r="D83" s="6"/>
      <c r="E83" s="6"/>
    </row>
    <row r="84" spans="3:5" x14ac:dyDescent="0.25">
      <c r="C84" s="6"/>
      <c r="D84" s="6"/>
      <c r="E84" s="6"/>
    </row>
    <row r="85" spans="3:5" x14ac:dyDescent="0.25">
      <c r="C85" s="6"/>
      <c r="D85" s="6"/>
      <c r="E85" s="6"/>
    </row>
    <row r="86" spans="3:5" x14ac:dyDescent="0.25">
      <c r="C86" s="6"/>
      <c r="D86" s="6"/>
      <c r="E86" s="6"/>
    </row>
    <row r="87" spans="3:5" x14ac:dyDescent="0.25">
      <c r="C87" s="6"/>
      <c r="D87" s="6"/>
      <c r="E87" s="6"/>
    </row>
    <row r="88" spans="3:5" x14ac:dyDescent="0.25">
      <c r="C88" s="6"/>
      <c r="D88" s="6"/>
      <c r="E88" s="6"/>
    </row>
    <row r="89" spans="3:5" x14ac:dyDescent="0.25">
      <c r="C89" s="6"/>
      <c r="D89" s="6"/>
      <c r="E89" s="6"/>
    </row>
    <row r="90" spans="3:5" x14ac:dyDescent="0.25">
      <c r="C90" s="6"/>
      <c r="D90" s="6"/>
      <c r="E90" s="6"/>
    </row>
    <row r="91" spans="3:5" x14ac:dyDescent="0.25">
      <c r="C91" s="6"/>
      <c r="D91" s="6"/>
      <c r="E91" s="6"/>
    </row>
    <row r="92" spans="3:5" x14ac:dyDescent="0.25">
      <c r="C92" s="6"/>
      <c r="D92" s="6"/>
      <c r="E92" s="6"/>
    </row>
    <row r="93" spans="3:5" x14ac:dyDescent="0.25">
      <c r="C93" s="6"/>
      <c r="D93" s="6"/>
      <c r="E93" s="6"/>
    </row>
    <row r="94" spans="3:5" x14ac:dyDescent="0.25">
      <c r="C94" s="6"/>
      <c r="D94" s="6"/>
      <c r="E94" s="6"/>
    </row>
    <row r="95" spans="3:5" x14ac:dyDescent="0.25">
      <c r="C95" s="6"/>
      <c r="D95" s="6"/>
      <c r="E95" s="6"/>
    </row>
    <row r="96" spans="3:5" x14ac:dyDescent="0.25">
      <c r="C96" s="6"/>
      <c r="D96" s="6"/>
      <c r="E96" s="6"/>
    </row>
    <row r="97" spans="3:5" x14ac:dyDescent="0.25">
      <c r="C97" s="6"/>
      <c r="D97" s="6"/>
      <c r="E97" s="6"/>
    </row>
    <row r="98" spans="3:5" x14ac:dyDescent="0.25">
      <c r="C98" s="6"/>
      <c r="D98" s="6"/>
      <c r="E98" s="6"/>
    </row>
    <row r="99" spans="3:5" x14ac:dyDescent="0.25">
      <c r="C99" s="6"/>
      <c r="D99" s="6"/>
      <c r="E99" s="6"/>
    </row>
    <row r="100" spans="3:5" x14ac:dyDescent="0.25">
      <c r="C100" s="6"/>
      <c r="D100" s="6"/>
      <c r="E100" s="6"/>
    </row>
    <row r="101" spans="3:5" x14ac:dyDescent="0.25">
      <c r="C101" s="6"/>
      <c r="D101" s="6"/>
      <c r="E101" s="6"/>
    </row>
    <row r="102" spans="3:5" x14ac:dyDescent="0.25">
      <c r="C102" s="6"/>
      <c r="D102" s="6"/>
      <c r="E102" s="6"/>
    </row>
    <row r="103" spans="3:5" x14ac:dyDescent="0.25">
      <c r="C103" s="6"/>
      <c r="D103" s="6"/>
      <c r="E103" s="6"/>
    </row>
    <row r="104" spans="3:5" x14ac:dyDescent="0.25">
      <c r="C104" s="6"/>
      <c r="D104" s="6"/>
      <c r="E104" s="6"/>
    </row>
    <row r="105" spans="3:5" x14ac:dyDescent="0.25">
      <c r="C105" s="6"/>
      <c r="D105" s="6"/>
      <c r="E105" s="6"/>
    </row>
    <row r="106" spans="3:5" x14ac:dyDescent="0.25">
      <c r="C106" s="6"/>
      <c r="D106" s="6"/>
      <c r="E106" s="6"/>
    </row>
    <row r="107" spans="3:5" x14ac:dyDescent="0.25">
      <c r="C107" s="6"/>
      <c r="D107" s="6"/>
      <c r="E107" s="6"/>
    </row>
    <row r="108" spans="3:5" x14ac:dyDescent="0.25">
      <c r="C108" s="6"/>
      <c r="D108" s="6"/>
      <c r="E108" s="6"/>
    </row>
    <row r="109" spans="3:5" x14ac:dyDescent="0.25">
      <c r="C109" s="6"/>
      <c r="D109" s="6"/>
      <c r="E109" s="6"/>
    </row>
    <row r="110" spans="3:5" x14ac:dyDescent="0.25">
      <c r="C110" s="6"/>
      <c r="D110" s="6"/>
      <c r="E110" s="6"/>
    </row>
    <row r="111" spans="3:5" x14ac:dyDescent="0.25">
      <c r="C111" s="6"/>
      <c r="D111" s="6"/>
      <c r="E111" s="6"/>
    </row>
    <row r="112" spans="3:5" x14ac:dyDescent="0.25">
      <c r="C112" s="6"/>
      <c r="D112" s="6"/>
      <c r="E112" s="6"/>
    </row>
    <row r="113" spans="1:5" x14ac:dyDescent="0.25">
      <c r="C113" s="6"/>
      <c r="D113" s="6"/>
      <c r="E113" s="6"/>
    </row>
    <row r="114" spans="1:5" x14ac:dyDescent="0.25">
      <c r="C114" s="6"/>
      <c r="D114" s="6"/>
      <c r="E114" s="6"/>
    </row>
    <row r="115" spans="1:5" x14ac:dyDescent="0.25">
      <c r="C115" s="6"/>
      <c r="D115" s="6"/>
      <c r="E115" s="6"/>
    </row>
    <row r="116" spans="1:5" x14ac:dyDescent="0.25">
      <c r="C116" s="6"/>
      <c r="D116" s="6"/>
      <c r="E116" s="6"/>
    </row>
    <row r="117" spans="1:5" x14ac:dyDescent="0.25">
      <c r="C117" s="6"/>
      <c r="D117" s="6"/>
      <c r="E117" s="6"/>
    </row>
    <row r="118" spans="1:5" x14ac:dyDescent="0.25">
      <c r="A118" s="15"/>
      <c r="B118" s="15"/>
      <c r="C118" s="15"/>
      <c r="D118" s="15"/>
      <c r="E118" s="15"/>
    </row>
    <row r="119" spans="1:5" x14ac:dyDescent="0.25">
      <c r="B119" s="9"/>
      <c r="C119" s="9"/>
      <c r="D119" s="9"/>
      <c r="E119" s="8"/>
    </row>
    <row r="120" spans="1:5" x14ac:dyDescent="0.25">
      <c r="B120" s="9"/>
      <c r="C120" s="9"/>
      <c r="D120" s="9"/>
      <c r="E120" s="8"/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40" xr:uid="{5F928DE3-80B9-41C2-8D87-7B88BBB8C305}"/>
  <mergeCells count="5">
    <mergeCell ref="A39:D39"/>
    <mergeCell ref="A40:D40"/>
    <mergeCell ref="A2:E2"/>
    <mergeCell ref="B162:D162"/>
    <mergeCell ref="B163:D163"/>
  </mergeCells>
  <conditionalFormatting sqref="E1">
    <cfRule type="cellIs" dxfId="19" priority="5" operator="lessThan">
      <formula>0</formula>
    </cfRule>
  </conditionalFormatting>
  <conditionalFormatting sqref="E3:E117">
    <cfRule type="cellIs" dxfId="18" priority="1" operator="lessThan">
      <formula>0</formula>
    </cfRule>
  </conditionalFormatting>
  <conditionalFormatting sqref="E119:E163">
    <cfRule type="cellIs" dxfId="17" priority="3" operator="lessThan">
      <formula>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BD887-080B-49FB-8B0C-29B9DCB8397B}">
  <dimension ref="A1:E163"/>
  <sheetViews>
    <sheetView zoomScale="145" zoomScaleNormal="145" workbookViewId="0">
      <pane ySplit="1" topLeftCell="A2" activePane="bottomLeft" state="frozen"/>
      <selection pane="bottomLeft" activeCell="C29" sqref="C29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46036</v>
      </c>
      <c r="B2" s="88"/>
      <c r="C2" s="88"/>
      <c r="D2" s="88"/>
      <c r="E2" s="88"/>
    </row>
    <row r="3" spans="1:5" x14ac:dyDescent="0.25">
      <c r="A3" s="4">
        <v>1</v>
      </c>
      <c r="B3" s="4" t="s">
        <v>68</v>
      </c>
      <c r="C3" s="6">
        <v>6500000</v>
      </c>
      <c r="D3" s="6">
        <v>7600000</v>
      </c>
      <c r="E3" s="6">
        <f t="shared" ref="E3:E71" si="0">D3-C3</f>
        <v>1100000</v>
      </c>
    </row>
    <row r="4" spans="1:5" x14ac:dyDescent="0.25">
      <c r="A4" s="4">
        <v>2</v>
      </c>
      <c r="B4" s="4" t="s">
        <v>7</v>
      </c>
      <c r="C4" s="6">
        <v>13000000</v>
      </c>
      <c r="D4" s="6">
        <v>14000000</v>
      </c>
      <c r="E4" s="6">
        <f t="shared" si="0"/>
        <v>1000000</v>
      </c>
    </row>
    <row r="5" spans="1:5" x14ac:dyDescent="0.25">
      <c r="A5" s="4">
        <v>3</v>
      </c>
      <c r="B5" s="4" t="s">
        <v>7</v>
      </c>
      <c r="C5" s="6">
        <v>13400000</v>
      </c>
      <c r="D5" s="6">
        <v>14250000</v>
      </c>
      <c r="E5" s="6">
        <f t="shared" si="0"/>
        <v>850000</v>
      </c>
    </row>
    <row r="6" spans="1:5" x14ac:dyDescent="0.25">
      <c r="A6" s="4">
        <v>4</v>
      </c>
      <c r="B6" s="4" t="s">
        <v>7</v>
      </c>
      <c r="C6" s="6">
        <v>13000000</v>
      </c>
      <c r="D6" s="6">
        <v>14250000</v>
      </c>
      <c r="E6" s="6">
        <f t="shared" si="0"/>
        <v>1250000</v>
      </c>
    </row>
    <row r="7" spans="1:5" x14ac:dyDescent="0.25">
      <c r="A7" s="4">
        <v>5</v>
      </c>
      <c r="B7" s="4" t="s">
        <v>7</v>
      </c>
      <c r="C7" s="6">
        <v>13000000</v>
      </c>
      <c r="D7" s="6">
        <v>14250000</v>
      </c>
      <c r="E7" s="6">
        <f t="shared" si="0"/>
        <v>1250000</v>
      </c>
    </row>
    <row r="8" spans="1:5" x14ac:dyDescent="0.25">
      <c r="A8" s="4">
        <v>6</v>
      </c>
      <c r="B8" s="4" t="s">
        <v>7</v>
      </c>
      <c r="C8" s="6">
        <v>13300000</v>
      </c>
      <c r="D8" s="6">
        <v>14250000</v>
      </c>
      <c r="E8" s="6">
        <f t="shared" si="0"/>
        <v>950000</v>
      </c>
    </row>
    <row r="9" spans="1:5" x14ac:dyDescent="0.25">
      <c r="A9" s="4">
        <v>7</v>
      </c>
      <c r="B9" s="10" t="s">
        <v>23</v>
      </c>
      <c r="C9" s="6">
        <v>3200000</v>
      </c>
      <c r="D9" s="6"/>
      <c r="E9" s="6">
        <f t="shared" si="0"/>
        <v>-3200000</v>
      </c>
    </row>
    <row r="10" spans="1:5" x14ac:dyDescent="0.25">
      <c r="A10" s="4">
        <v>8</v>
      </c>
      <c r="B10" s="10" t="s">
        <v>23</v>
      </c>
      <c r="C10" s="6">
        <v>3333333</v>
      </c>
      <c r="D10" s="6"/>
      <c r="E10" s="6">
        <f t="shared" si="0"/>
        <v>-3333333</v>
      </c>
    </row>
    <row r="11" spans="1:5" x14ac:dyDescent="0.25">
      <c r="A11" s="4">
        <v>9</v>
      </c>
      <c r="B11" s="10" t="s">
        <v>6</v>
      </c>
      <c r="C11" s="6">
        <v>8500000</v>
      </c>
      <c r="D11" s="6">
        <v>9262500</v>
      </c>
      <c r="E11" s="6">
        <f t="shared" si="0"/>
        <v>762500</v>
      </c>
    </row>
    <row r="12" spans="1:5" x14ac:dyDescent="0.25">
      <c r="A12" s="4">
        <v>10</v>
      </c>
      <c r="B12" s="10" t="s">
        <v>53</v>
      </c>
      <c r="C12" s="6">
        <v>600000</v>
      </c>
      <c r="D12" s="6">
        <v>855000</v>
      </c>
      <c r="E12" s="6">
        <f t="shared" si="0"/>
        <v>255000</v>
      </c>
    </row>
    <row r="13" spans="1:5" x14ac:dyDescent="0.25">
      <c r="A13" s="4">
        <v>11</v>
      </c>
      <c r="B13" s="4" t="s">
        <v>26</v>
      </c>
      <c r="C13" s="6">
        <v>1700000</v>
      </c>
      <c r="D13" s="6">
        <v>1757500</v>
      </c>
      <c r="E13" s="6">
        <f t="shared" si="0"/>
        <v>57500</v>
      </c>
    </row>
    <row r="14" spans="1:5" x14ac:dyDescent="0.25">
      <c r="A14" s="4">
        <v>12</v>
      </c>
      <c r="B14" s="10" t="s">
        <v>33</v>
      </c>
      <c r="C14" s="6">
        <v>2800000</v>
      </c>
      <c r="D14" s="6">
        <v>2565000</v>
      </c>
      <c r="E14" s="6">
        <f>D14-C14</f>
        <v>-235000</v>
      </c>
    </row>
    <row r="15" spans="1:5" x14ac:dyDescent="0.25">
      <c r="A15" s="4">
        <v>13</v>
      </c>
      <c r="B15" s="10" t="s">
        <v>16</v>
      </c>
      <c r="C15" s="6">
        <v>1990000</v>
      </c>
      <c r="D15" s="6"/>
      <c r="E15" s="6">
        <f>D15-C15</f>
        <v>-1990000</v>
      </c>
    </row>
    <row r="16" spans="1:5" x14ac:dyDescent="0.25">
      <c r="A16" s="4">
        <v>14</v>
      </c>
      <c r="B16" s="10" t="s">
        <v>69</v>
      </c>
      <c r="C16" s="6">
        <v>210000</v>
      </c>
      <c r="D16" s="6">
        <v>275500</v>
      </c>
      <c r="E16" s="6">
        <f t="shared" si="0"/>
        <v>65500</v>
      </c>
    </row>
    <row r="17" spans="1:5" x14ac:dyDescent="0.25">
      <c r="A17" s="4">
        <v>15</v>
      </c>
      <c r="B17" s="10" t="s">
        <v>27</v>
      </c>
      <c r="C17" s="6">
        <v>4800000</v>
      </c>
      <c r="D17" s="6"/>
      <c r="E17" s="6">
        <f t="shared" si="0"/>
        <v>-4800000</v>
      </c>
    </row>
    <row r="18" spans="1:5" x14ac:dyDescent="0.25">
      <c r="A18" s="4">
        <v>16</v>
      </c>
      <c r="B18" s="10" t="s">
        <v>16</v>
      </c>
      <c r="C18" s="6">
        <v>1999999</v>
      </c>
      <c r="D18" s="6"/>
      <c r="E18" s="6">
        <f t="shared" si="0"/>
        <v>-1999999</v>
      </c>
    </row>
    <row r="19" spans="1:5" x14ac:dyDescent="0.25">
      <c r="A19" s="4">
        <v>17</v>
      </c>
      <c r="B19" s="10" t="s">
        <v>70</v>
      </c>
      <c r="C19" s="6">
        <v>19999999</v>
      </c>
      <c r="D19" s="6">
        <v>19475000</v>
      </c>
      <c r="E19" s="6">
        <f t="shared" si="0"/>
        <v>-524999</v>
      </c>
    </row>
    <row r="20" spans="1:5" x14ac:dyDescent="0.25">
      <c r="A20" s="4">
        <v>18</v>
      </c>
      <c r="B20" s="10" t="s">
        <v>54</v>
      </c>
      <c r="C20" s="6">
        <v>6099000</v>
      </c>
      <c r="D20" s="6">
        <v>5984050</v>
      </c>
      <c r="E20" s="6">
        <f t="shared" si="0"/>
        <v>-114950</v>
      </c>
    </row>
    <row r="21" spans="1:5" x14ac:dyDescent="0.25">
      <c r="A21" s="4">
        <v>19</v>
      </c>
      <c r="B21" s="10" t="s">
        <v>27</v>
      </c>
      <c r="C21" s="6">
        <v>4800000</v>
      </c>
      <c r="D21" s="6"/>
      <c r="E21" s="6">
        <f t="shared" si="0"/>
        <v>-4800000</v>
      </c>
    </row>
    <row r="22" spans="1:5" x14ac:dyDescent="0.25">
      <c r="A22" s="4">
        <v>20</v>
      </c>
      <c r="B22" s="10" t="s">
        <v>34</v>
      </c>
      <c r="C22" s="6">
        <v>5000000</v>
      </c>
      <c r="D22" s="6">
        <v>4655000</v>
      </c>
      <c r="E22" s="6">
        <f t="shared" si="0"/>
        <v>-345000</v>
      </c>
    </row>
    <row r="23" spans="1:5" x14ac:dyDescent="0.25">
      <c r="A23" s="4">
        <v>21</v>
      </c>
      <c r="B23" s="10" t="s">
        <v>5</v>
      </c>
      <c r="C23" s="6">
        <v>7000000</v>
      </c>
      <c r="D23" s="6"/>
      <c r="E23" s="6">
        <f t="shared" si="0"/>
        <v>-7000000</v>
      </c>
    </row>
    <row r="24" spans="1:5" x14ac:dyDescent="0.25">
      <c r="A24" s="4">
        <v>22</v>
      </c>
      <c r="B24" s="10" t="s">
        <v>5</v>
      </c>
      <c r="C24" s="6">
        <v>7000000</v>
      </c>
      <c r="D24" s="6"/>
      <c r="E24" s="6">
        <f t="shared" si="0"/>
        <v>-7000000</v>
      </c>
    </row>
    <row r="25" spans="1:5" x14ac:dyDescent="0.25">
      <c r="A25" s="4">
        <v>23</v>
      </c>
      <c r="B25" s="10" t="s">
        <v>27</v>
      </c>
      <c r="C25" s="6">
        <v>4800000</v>
      </c>
      <c r="D25" s="6"/>
      <c r="E25" s="6">
        <f t="shared" si="0"/>
        <v>-4800000</v>
      </c>
    </row>
    <row r="26" spans="1:5" x14ac:dyDescent="0.25">
      <c r="A26" s="4">
        <v>24</v>
      </c>
      <c r="B26" s="10" t="s">
        <v>29</v>
      </c>
      <c r="C26" s="6">
        <v>700000</v>
      </c>
      <c r="D26" s="6">
        <v>854050</v>
      </c>
      <c r="E26" s="6">
        <f t="shared" si="0"/>
        <v>154050</v>
      </c>
    </row>
    <row r="27" spans="1:5" x14ac:dyDescent="0.25">
      <c r="A27" s="4">
        <v>25</v>
      </c>
      <c r="B27" s="10" t="s">
        <v>16</v>
      </c>
      <c r="C27" s="6">
        <v>2000000</v>
      </c>
      <c r="D27" s="6"/>
      <c r="E27" s="6">
        <f t="shared" si="0"/>
        <v>-2000000</v>
      </c>
    </row>
    <row r="28" spans="1:5" x14ac:dyDescent="0.25">
      <c r="A28" s="4">
        <v>26</v>
      </c>
      <c r="B28" s="10" t="s">
        <v>16</v>
      </c>
      <c r="C28" s="6">
        <v>2000000</v>
      </c>
      <c r="D28" s="6"/>
      <c r="E28" s="6">
        <f t="shared" si="0"/>
        <v>-2000000</v>
      </c>
    </row>
    <row r="29" spans="1:5" x14ac:dyDescent="0.25">
      <c r="A29" s="4">
        <v>27</v>
      </c>
      <c r="B29" s="4" t="s">
        <v>5</v>
      </c>
      <c r="C29" s="6">
        <v>6700000</v>
      </c>
      <c r="D29" s="6"/>
      <c r="E29" s="6">
        <f t="shared" si="0"/>
        <v>-6700000</v>
      </c>
    </row>
    <row r="30" spans="1:5" x14ac:dyDescent="0.25">
      <c r="A30" s="4">
        <v>28</v>
      </c>
      <c r="B30" s="4" t="s">
        <v>5</v>
      </c>
      <c r="C30" s="6">
        <v>6500000</v>
      </c>
      <c r="D30" s="6"/>
      <c r="E30" s="6">
        <f t="shared" si="0"/>
        <v>-6500000</v>
      </c>
    </row>
    <row r="31" spans="1:5" x14ac:dyDescent="0.25">
      <c r="A31" s="4">
        <v>29</v>
      </c>
      <c r="B31" s="10" t="s">
        <v>34</v>
      </c>
      <c r="C31" s="6">
        <v>5100000</v>
      </c>
      <c r="D31" s="6">
        <v>4275011</v>
      </c>
      <c r="E31" s="6">
        <f t="shared" si="0"/>
        <v>-824989</v>
      </c>
    </row>
    <row r="32" spans="1:5" x14ac:dyDescent="0.25">
      <c r="A32" s="4">
        <v>30</v>
      </c>
      <c r="B32" s="10" t="s">
        <v>23</v>
      </c>
      <c r="C32" s="6">
        <v>3000000</v>
      </c>
      <c r="D32" s="6"/>
      <c r="E32" s="6">
        <f t="shared" si="0"/>
        <v>-3000000</v>
      </c>
    </row>
    <row r="33" spans="1:5" x14ac:dyDescent="0.25">
      <c r="A33" s="4">
        <v>31</v>
      </c>
      <c r="B33" s="10" t="s">
        <v>6</v>
      </c>
      <c r="C33" s="6">
        <v>8500000</v>
      </c>
      <c r="D33" s="6">
        <v>9975000</v>
      </c>
      <c r="E33" s="6">
        <f t="shared" si="0"/>
        <v>1475000</v>
      </c>
    </row>
    <row r="34" spans="1:5" x14ac:dyDescent="0.25">
      <c r="A34" s="4">
        <v>32</v>
      </c>
      <c r="B34" s="10" t="s">
        <v>16</v>
      </c>
      <c r="C34" s="6">
        <v>2000000</v>
      </c>
      <c r="D34" s="6"/>
      <c r="E34" s="6">
        <f t="shared" si="0"/>
        <v>-2000000</v>
      </c>
    </row>
    <row r="35" spans="1:5" x14ac:dyDescent="0.25">
      <c r="A35" s="4">
        <v>33</v>
      </c>
      <c r="B35" s="10" t="s">
        <v>27</v>
      </c>
      <c r="C35" s="6">
        <v>4500000</v>
      </c>
      <c r="D35" s="6"/>
      <c r="E35" s="6">
        <f t="shared" si="0"/>
        <v>-4500000</v>
      </c>
    </row>
    <row r="36" spans="1:5" x14ac:dyDescent="0.25">
      <c r="A36" s="4">
        <v>34</v>
      </c>
      <c r="B36" s="10" t="s">
        <v>16</v>
      </c>
      <c r="C36" s="6">
        <v>2099999</v>
      </c>
      <c r="D36" s="6"/>
      <c r="E36" s="6">
        <f t="shared" si="0"/>
        <v>-2099999</v>
      </c>
    </row>
    <row r="37" spans="1:5" x14ac:dyDescent="0.25">
      <c r="A37" s="4">
        <v>35</v>
      </c>
      <c r="B37" s="10" t="s">
        <v>16</v>
      </c>
      <c r="C37" s="6">
        <v>2099999</v>
      </c>
      <c r="D37" s="6"/>
      <c r="E37" s="6">
        <f t="shared" si="0"/>
        <v>-2099999</v>
      </c>
    </row>
    <row r="38" spans="1:5" x14ac:dyDescent="0.25">
      <c r="A38" s="4">
        <v>36</v>
      </c>
      <c r="B38" s="10" t="s">
        <v>5</v>
      </c>
      <c r="C38" s="6">
        <v>6699999</v>
      </c>
      <c r="D38" s="6"/>
      <c r="E38" s="6">
        <f t="shared" si="0"/>
        <v>-6699999</v>
      </c>
    </row>
    <row r="39" spans="1:5" x14ac:dyDescent="0.25">
      <c r="A39" s="4">
        <v>37</v>
      </c>
      <c r="B39" s="10" t="s">
        <v>19</v>
      </c>
      <c r="C39" s="6">
        <v>750000</v>
      </c>
      <c r="D39" s="6">
        <v>710600</v>
      </c>
      <c r="E39" s="6">
        <f t="shared" si="0"/>
        <v>-39400</v>
      </c>
    </row>
    <row r="40" spans="1:5" x14ac:dyDescent="0.25">
      <c r="A40" s="4">
        <v>38</v>
      </c>
      <c r="B40" s="10" t="s">
        <v>16</v>
      </c>
      <c r="C40" s="6">
        <v>2000000</v>
      </c>
      <c r="D40" s="6"/>
      <c r="E40" s="6">
        <f t="shared" si="0"/>
        <v>-2000000</v>
      </c>
    </row>
    <row r="41" spans="1:5" x14ac:dyDescent="0.25">
      <c r="A41" s="4">
        <v>39</v>
      </c>
      <c r="B41" s="10" t="s">
        <v>16</v>
      </c>
      <c r="C41" s="6">
        <v>2000000</v>
      </c>
      <c r="D41" s="6">
        <v>1794443</v>
      </c>
      <c r="E41" s="6">
        <f t="shared" si="0"/>
        <v>-205557</v>
      </c>
    </row>
    <row r="42" spans="1:5" x14ac:dyDescent="0.25">
      <c r="A42" s="4">
        <v>40</v>
      </c>
      <c r="B42" s="10" t="s">
        <v>16</v>
      </c>
      <c r="C42" s="6">
        <v>2000000</v>
      </c>
      <c r="D42" s="6">
        <v>1824000</v>
      </c>
      <c r="E42" s="6">
        <f t="shared" si="0"/>
        <v>-176000</v>
      </c>
    </row>
    <row r="43" spans="1:5" x14ac:dyDescent="0.25">
      <c r="A43" s="4">
        <v>41</v>
      </c>
      <c r="B43" s="4" t="s">
        <v>28</v>
      </c>
      <c r="C43" s="6">
        <v>1200000</v>
      </c>
      <c r="D43" s="6"/>
      <c r="E43" s="6">
        <f t="shared" si="0"/>
        <v>-1200000</v>
      </c>
    </row>
    <row r="44" spans="1:5" x14ac:dyDescent="0.25">
      <c r="A44" s="4">
        <v>42</v>
      </c>
      <c r="B44" s="4" t="s">
        <v>19</v>
      </c>
      <c r="C44" s="6">
        <v>700000</v>
      </c>
      <c r="D44" s="6">
        <v>712500</v>
      </c>
      <c r="E44" s="6">
        <f t="shared" si="0"/>
        <v>12500</v>
      </c>
    </row>
    <row r="45" spans="1:5" x14ac:dyDescent="0.25">
      <c r="A45" s="4">
        <v>43</v>
      </c>
      <c r="B45" s="4" t="s">
        <v>28</v>
      </c>
      <c r="C45" s="6">
        <v>1250000</v>
      </c>
      <c r="D45" s="6"/>
      <c r="E45" s="6">
        <f t="shared" si="0"/>
        <v>-1250000</v>
      </c>
    </row>
    <row r="46" spans="1:5" x14ac:dyDescent="0.25">
      <c r="A46" s="4">
        <v>44</v>
      </c>
      <c r="B46" s="4" t="s">
        <v>69</v>
      </c>
      <c r="C46" s="6">
        <v>210000</v>
      </c>
      <c r="D46" s="6">
        <v>275500</v>
      </c>
      <c r="E46" s="6">
        <f t="shared" si="0"/>
        <v>65500</v>
      </c>
    </row>
    <row r="47" spans="1:5" x14ac:dyDescent="0.25">
      <c r="A47" s="4">
        <v>45</v>
      </c>
      <c r="B47" s="4" t="s">
        <v>69</v>
      </c>
      <c r="C47" s="6">
        <v>200000</v>
      </c>
      <c r="D47" s="6">
        <v>275500</v>
      </c>
      <c r="E47" s="6">
        <f t="shared" si="0"/>
        <v>75500</v>
      </c>
    </row>
    <row r="48" spans="1:5" x14ac:dyDescent="0.25">
      <c r="A48" s="4">
        <v>46</v>
      </c>
      <c r="B48" s="4" t="s">
        <v>28</v>
      </c>
      <c r="C48" s="6">
        <v>1200000</v>
      </c>
      <c r="D48" s="6"/>
      <c r="E48" s="6">
        <f t="shared" si="0"/>
        <v>-1200000</v>
      </c>
    </row>
    <row r="49" spans="1:5" x14ac:dyDescent="0.25">
      <c r="A49" s="4">
        <v>47</v>
      </c>
      <c r="B49" s="4" t="s">
        <v>5</v>
      </c>
      <c r="C49" s="6">
        <v>6399999</v>
      </c>
      <c r="D49" s="6"/>
      <c r="E49" s="6">
        <f t="shared" si="0"/>
        <v>-6399999</v>
      </c>
    </row>
    <row r="50" spans="1:5" x14ac:dyDescent="0.25">
      <c r="A50" s="4">
        <v>48</v>
      </c>
      <c r="B50" s="4" t="s">
        <v>69</v>
      </c>
      <c r="C50" s="6">
        <v>210000</v>
      </c>
      <c r="D50" s="6">
        <v>261250</v>
      </c>
      <c r="E50" s="6">
        <f t="shared" si="0"/>
        <v>51250</v>
      </c>
    </row>
    <row r="51" spans="1:5" x14ac:dyDescent="0.25">
      <c r="A51" s="4">
        <v>49</v>
      </c>
      <c r="B51" s="4" t="s">
        <v>28</v>
      </c>
      <c r="C51" s="6">
        <v>1200000</v>
      </c>
      <c r="D51" s="6"/>
      <c r="E51" s="6">
        <f t="shared" si="0"/>
        <v>-1200000</v>
      </c>
    </row>
    <row r="52" spans="1:5" x14ac:dyDescent="0.25">
      <c r="A52" s="4">
        <v>50</v>
      </c>
      <c r="B52" s="4" t="s">
        <v>28</v>
      </c>
      <c r="C52" s="6">
        <v>1100000</v>
      </c>
      <c r="D52" s="6"/>
      <c r="E52" s="6">
        <f t="shared" si="0"/>
        <v>-1100000</v>
      </c>
    </row>
    <row r="53" spans="1:5" x14ac:dyDescent="0.25">
      <c r="A53" s="4">
        <v>51</v>
      </c>
      <c r="B53" s="4" t="s">
        <v>28</v>
      </c>
      <c r="C53" s="6">
        <v>1150000</v>
      </c>
      <c r="D53" s="6"/>
      <c r="E53" s="6">
        <f t="shared" si="0"/>
        <v>-1150000</v>
      </c>
    </row>
    <row r="54" spans="1:5" x14ac:dyDescent="0.25">
      <c r="A54" s="4">
        <v>52</v>
      </c>
      <c r="B54" s="4" t="s">
        <v>28</v>
      </c>
      <c r="C54" s="6">
        <v>1200000</v>
      </c>
      <c r="D54" s="6"/>
      <c r="E54" s="6">
        <f t="shared" si="0"/>
        <v>-1200000</v>
      </c>
    </row>
    <row r="55" spans="1:5" x14ac:dyDescent="0.25">
      <c r="A55" s="4">
        <v>53</v>
      </c>
      <c r="B55" s="4" t="s">
        <v>30</v>
      </c>
      <c r="C55" s="6">
        <v>910000</v>
      </c>
      <c r="D55" s="6">
        <v>949999</v>
      </c>
      <c r="E55" s="6">
        <f t="shared" si="0"/>
        <v>39999</v>
      </c>
    </row>
    <row r="56" spans="1:5" x14ac:dyDescent="0.25">
      <c r="A56" s="4">
        <v>54</v>
      </c>
      <c r="B56" s="4" t="s">
        <v>27</v>
      </c>
      <c r="C56" s="6">
        <v>4520000</v>
      </c>
      <c r="D56" s="6"/>
      <c r="E56" s="6">
        <f t="shared" si="0"/>
        <v>-4520000</v>
      </c>
    </row>
    <row r="57" spans="1:5" x14ac:dyDescent="0.25">
      <c r="A57" s="4">
        <v>55</v>
      </c>
      <c r="B57" s="4" t="s">
        <v>23</v>
      </c>
      <c r="C57" s="6">
        <v>2700000</v>
      </c>
      <c r="D57" s="6"/>
      <c r="E57" s="6">
        <f t="shared" si="0"/>
        <v>-2700000</v>
      </c>
    </row>
    <row r="58" spans="1:5" x14ac:dyDescent="0.25">
      <c r="A58" s="4">
        <v>56</v>
      </c>
      <c r="B58" s="4" t="s">
        <v>23</v>
      </c>
      <c r="C58" s="6">
        <v>2700000</v>
      </c>
      <c r="D58" s="6"/>
      <c r="E58" s="6">
        <f t="shared" si="0"/>
        <v>-2700000</v>
      </c>
    </row>
    <row r="59" spans="1:5" x14ac:dyDescent="0.25">
      <c r="A59" s="4">
        <v>57</v>
      </c>
      <c r="B59" s="4" t="s">
        <v>67</v>
      </c>
      <c r="C59" s="6">
        <v>350000</v>
      </c>
      <c r="D59" s="6">
        <v>570000</v>
      </c>
      <c r="E59" s="6">
        <f t="shared" si="0"/>
        <v>220000</v>
      </c>
    </row>
    <row r="60" spans="1:5" x14ac:dyDescent="0.25">
      <c r="A60" s="4">
        <v>58</v>
      </c>
      <c r="B60" s="4" t="s">
        <v>28</v>
      </c>
      <c r="C60" s="6">
        <v>1200000</v>
      </c>
      <c r="D60" s="6"/>
      <c r="E60" s="6">
        <f t="shared" si="0"/>
        <v>-1200000</v>
      </c>
    </row>
    <row r="61" spans="1:5" x14ac:dyDescent="0.25">
      <c r="A61" s="4">
        <v>59</v>
      </c>
      <c r="B61" s="4" t="s">
        <v>5</v>
      </c>
      <c r="C61" s="6">
        <v>6400000</v>
      </c>
      <c r="D61" s="6">
        <v>6650000</v>
      </c>
      <c r="E61" s="6">
        <f t="shared" si="0"/>
        <v>250000</v>
      </c>
    </row>
    <row r="62" spans="1:5" x14ac:dyDescent="0.25">
      <c r="A62" s="4">
        <v>60</v>
      </c>
      <c r="B62" s="4" t="s">
        <v>5</v>
      </c>
      <c r="C62" s="6">
        <v>6200000</v>
      </c>
      <c r="D62" s="6">
        <v>6650000</v>
      </c>
      <c r="E62" s="6">
        <f t="shared" si="0"/>
        <v>450000</v>
      </c>
    </row>
    <row r="63" spans="1:5" x14ac:dyDescent="0.25">
      <c r="A63" s="4">
        <v>61</v>
      </c>
      <c r="B63" s="4" t="s">
        <v>27</v>
      </c>
      <c r="C63" s="6">
        <v>4100000</v>
      </c>
      <c r="D63" s="6"/>
      <c r="E63" s="6">
        <f t="shared" si="0"/>
        <v>-4100000</v>
      </c>
    </row>
    <row r="64" spans="1:5" x14ac:dyDescent="0.25">
      <c r="A64" s="4">
        <v>62</v>
      </c>
      <c r="B64" s="4" t="s">
        <v>19</v>
      </c>
      <c r="C64" s="6">
        <v>750000</v>
      </c>
      <c r="D64" s="6">
        <v>712500</v>
      </c>
      <c r="E64" s="6">
        <f t="shared" si="0"/>
        <v>-37500</v>
      </c>
    </row>
    <row r="65" spans="1:5" x14ac:dyDescent="0.25">
      <c r="A65" s="4">
        <v>63</v>
      </c>
      <c r="B65" s="4" t="s">
        <v>69</v>
      </c>
      <c r="C65" s="6">
        <v>235000</v>
      </c>
      <c r="D65" s="6">
        <v>261250</v>
      </c>
      <c r="E65" s="6">
        <f t="shared" si="0"/>
        <v>26250</v>
      </c>
    </row>
    <row r="66" spans="1:5" x14ac:dyDescent="0.25">
      <c r="A66" s="4">
        <v>64</v>
      </c>
      <c r="B66" s="4" t="s">
        <v>30</v>
      </c>
      <c r="C66" s="6">
        <v>899999</v>
      </c>
      <c r="D66" s="6">
        <v>950000</v>
      </c>
      <c r="E66" s="6">
        <f t="shared" si="0"/>
        <v>50001</v>
      </c>
    </row>
    <row r="67" spans="1:5" x14ac:dyDescent="0.25">
      <c r="A67" s="4">
        <v>65</v>
      </c>
      <c r="B67" s="4" t="s">
        <v>23</v>
      </c>
      <c r="C67" s="6">
        <v>2659999</v>
      </c>
      <c r="D67" s="6"/>
      <c r="E67" s="6">
        <f t="shared" si="0"/>
        <v>-2659999</v>
      </c>
    </row>
    <row r="68" spans="1:5" x14ac:dyDescent="0.25">
      <c r="A68" s="4">
        <v>66</v>
      </c>
      <c r="B68" s="4" t="s">
        <v>69</v>
      </c>
      <c r="C68" s="6">
        <v>200000</v>
      </c>
      <c r="D68" s="6">
        <v>237500</v>
      </c>
      <c r="E68" s="6">
        <f t="shared" si="0"/>
        <v>37500</v>
      </c>
    </row>
    <row r="69" spans="1:5" x14ac:dyDescent="0.25">
      <c r="A69" s="4">
        <v>67</v>
      </c>
      <c r="B69" s="4" t="s">
        <v>19</v>
      </c>
      <c r="C69" s="6">
        <v>750000</v>
      </c>
      <c r="D69" s="6">
        <v>712500</v>
      </c>
      <c r="E69" s="6">
        <f t="shared" si="0"/>
        <v>-37500</v>
      </c>
    </row>
    <row r="70" spans="1:5" x14ac:dyDescent="0.25">
      <c r="A70" s="4">
        <v>68</v>
      </c>
      <c r="B70" s="4" t="s">
        <v>13</v>
      </c>
      <c r="C70" s="6">
        <v>4300000</v>
      </c>
      <c r="D70" s="6">
        <v>4465000</v>
      </c>
      <c r="E70" s="6">
        <f t="shared" si="0"/>
        <v>165000</v>
      </c>
    </row>
    <row r="71" spans="1:5" x14ac:dyDescent="0.25">
      <c r="A71" s="4">
        <v>69</v>
      </c>
      <c r="B71" s="4" t="s">
        <v>33</v>
      </c>
      <c r="C71" s="6">
        <v>2800000</v>
      </c>
      <c r="D71" s="6">
        <v>2565000</v>
      </c>
      <c r="E71" s="6">
        <f t="shared" si="0"/>
        <v>-235000</v>
      </c>
    </row>
    <row r="72" spans="1:5" x14ac:dyDescent="0.25">
      <c r="A72" s="4">
        <v>70</v>
      </c>
      <c r="B72" s="10" t="s">
        <v>34</v>
      </c>
      <c r="C72" s="6">
        <v>5000000</v>
      </c>
      <c r="D72" s="6">
        <v>4702500</v>
      </c>
      <c r="E72" s="6">
        <f t="shared" ref="E72:E117" si="1">D72-C72</f>
        <v>-297500</v>
      </c>
    </row>
    <row r="73" spans="1:5" x14ac:dyDescent="0.25">
      <c r="A73" s="4">
        <v>71</v>
      </c>
      <c r="B73" s="4" t="s">
        <v>19</v>
      </c>
      <c r="C73" s="6">
        <v>666666</v>
      </c>
      <c r="D73" s="6">
        <v>710600</v>
      </c>
      <c r="E73" s="6">
        <f t="shared" si="1"/>
        <v>43934</v>
      </c>
    </row>
    <row r="74" spans="1:5" x14ac:dyDescent="0.25">
      <c r="A74" s="4">
        <v>72</v>
      </c>
      <c r="B74" s="4" t="s">
        <v>19</v>
      </c>
      <c r="C74" s="6">
        <v>730000</v>
      </c>
      <c r="D74" s="6">
        <v>712500</v>
      </c>
      <c r="E74" s="6">
        <f t="shared" si="1"/>
        <v>-17500</v>
      </c>
    </row>
    <row r="75" spans="1:5" x14ac:dyDescent="0.25">
      <c r="A75" s="4">
        <v>73</v>
      </c>
      <c r="B75" s="4" t="s">
        <v>16</v>
      </c>
      <c r="C75" s="6">
        <v>2007000</v>
      </c>
      <c r="D75" s="6">
        <v>1852500</v>
      </c>
      <c r="E75" s="6">
        <f t="shared" si="1"/>
        <v>-154500</v>
      </c>
    </row>
    <row r="76" spans="1:5" x14ac:dyDescent="0.25">
      <c r="A76" s="4">
        <v>74</v>
      </c>
      <c r="B76" s="4" t="s">
        <v>27</v>
      </c>
      <c r="C76" s="6">
        <v>4480000</v>
      </c>
      <c r="D76" s="6"/>
      <c r="E76" s="6">
        <f t="shared" si="1"/>
        <v>-4480000</v>
      </c>
    </row>
    <row r="77" spans="1:5" x14ac:dyDescent="0.25">
      <c r="A77" s="4">
        <v>75</v>
      </c>
      <c r="B77" s="4" t="s">
        <v>13</v>
      </c>
      <c r="C77" s="6">
        <v>4300000</v>
      </c>
      <c r="D77" s="6"/>
      <c r="E77" s="6">
        <f t="shared" si="1"/>
        <v>-4300000</v>
      </c>
    </row>
    <row r="78" spans="1:5" x14ac:dyDescent="0.25">
      <c r="A78" s="4">
        <v>76</v>
      </c>
      <c r="B78" s="4" t="s">
        <v>13</v>
      </c>
      <c r="C78" s="6">
        <v>4300000</v>
      </c>
      <c r="D78" s="6"/>
      <c r="E78" s="6">
        <f t="shared" si="1"/>
        <v>-4300000</v>
      </c>
    </row>
    <row r="79" spans="1:5" x14ac:dyDescent="0.25">
      <c r="A79" s="4">
        <v>77</v>
      </c>
      <c r="B79" s="4" t="s">
        <v>27</v>
      </c>
      <c r="C79" s="6">
        <v>4350000</v>
      </c>
      <c r="D79" s="6"/>
      <c r="E79" s="6">
        <f t="shared" si="1"/>
        <v>-4350000</v>
      </c>
    </row>
    <row r="80" spans="1:5" x14ac:dyDescent="0.25">
      <c r="A80" s="4">
        <v>78</v>
      </c>
      <c r="B80" s="4" t="s">
        <v>27</v>
      </c>
      <c r="C80" s="6">
        <v>4400000</v>
      </c>
      <c r="D80" s="6"/>
      <c r="E80" s="6">
        <f t="shared" si="1"/>
        <v>-4400000</v>
      </c>
    </row>
    <row r="81" spans="1:5" x14ac:dyDescent="0.25">
      <c r="A81" s="4">
        <v>79</v>
      </c>
      <c r="B81" s="4" t="s">
        <v>28</v>
      </c>
      <c r="C81" s="6">
        <v>1111111</v>
      </c>
      <c r="D81" s="6"/>
      <c r="E81" s="6">
        <f t="shared" si="1"/>
        <v>-1111111</v>
      </c>
    </row>
    <row r="82" spans="1:5" x14ac:dyDescent="0.25">
      <c r="A82" s="4">
        <v>80</v>
      </c>
      <c r="B82" s="4" t="s">
        <v>28</v>
      </c>
      <c r="C82" s="6">
        <v>1200000</v>
      </c>
      <c r="D82" s="6"/>
      <c r="E82" s="6">
        <f t="shared" si="1"/>
        <v>-1200000</v>
      </c>
    </row>
    <row r="83" spans="1:5" x14ac:dyDescent="0.25">
      <c r="A83" s="4">
        <v>81</v>
      </c>
      <c r="B83" s="4" t="s">
        <v>26</v>
      </c>
      <c r="C83" s="6">
        <v>1800000</v>
      </c>
      <c r="D83" s="6">
        <v>1881000</v>
      </c>
      <c r="E83" s="6">
        <f t="shared" si="1"/>
        <v>81000</v>
      </c>
    </row>
    <row r="84" spans="1:5" x14ac:dyDescent="0.25">
      <c r="A84" s="4">
        <v>82</v>
      </c>
      <c r="B84" s="4" t="s">
        <v>28</v>
      </c>
      <c r="C84" s="6">
        <v>1100001</v>
      </c>
      <c r="D84" s="6"/>
      <c r="E84" s="6">
        <f t="shared" si="1"/>
        <v>-1100001</v>
      </c>
    </row>
    <row r="85" spans="1:5" x14ac:dyDescent="0.25">
      <c r="A85" s="4">
        <v>83</v>
      </c>
      <c r="B85" s="4" t="s">
        <v>26</v>
      </c>
      <c r="C85" s="6">
        <v>1700000</v>
      </c>
      <c r="D85" s="6">
        <v>1900000</v>
      </c>
      <c r="E85" s="6">
        <f t="shared" si="1"/>
        <v>200000</v>
      </c>
    </row>
    <row r="86" spans="1:5" x14ac:dyDescent="0.25">
      <c r="A86" s="4">
        <v>84</v>
      </c>
      <c r="B86" s="4" t="s">
        <v>13</v>
      </c>
      <c r="C86" s="6">
        <v>4300000</v>
      </c>
      <c r="D86" s="6"/>
      <c r="E86" s="6">
        <f t="shared" si="1"/>
        <v>-4300000</v>
      </c>
    </row>
    <row r="87" spans="1:5" x14ac:dyDescent="0.25">
      <c r="A87" s="4">
        <v>85</v>
      </c>
      <c r="B87" s="4" t="s">
        <v>13</v>
      </c>
      <c r="C87" s="6">
        <v>4100000</v>
      </c>
      <c r="D87" s="6"/>
      <c r="E87" s="6">
        <f t="shared" si="1"/>
        <v>-4100000</v>
      </c>
    </row>
    <row r="88" spans="1:5" x14ac:dyDescent="0.25">
      <c r="A88" s="4">
        <v>86</v>
      </c>
      <c r="B88" s="4" t="s">
        <v>23</v>
      </c>
      <c r="C88" s="6">
        <v>2800000</v>
      </c>
      <c r="D88" s="6"/>
      <c r="E88" s="6">
        <f t="shared" si="1"/>
        <v>-2800000</v>
      </c>
    </row>
    <row r="89" spans="1:5" x14ac:dyDescent="0.25">
      <c r="A89" s="4">
        <v>87</v>
      </c>
      <c r="B89" s="4" t="s">
        <v>27</v>
      </c>
      <c r="C89" s="6">
        <v>4500000</v>
      </c>
      <c r="D89" s="6"/>
      <c r="E89" s="6">
        <f t="shared" si="1"/>
        <v>-4500000</v>
      </c>
    </row>
    <row r="90" spans="1:5" x14ac:dyDescent="0.25">
      <c r="A90" s="4">
        <v>88</v>
      </c>
      <c r="B90" s="4" t="s">
        <v>27</v>
      </c>
      <c r="C90" s="6">
        <v>4500000</v>
      </c>
      <c r="D90" s="6"/>
      <c r="E90" s="6">
        <f t="shared" si="1"/>
        <v>-4500000</v>
      </c>
    </row>
    <row r="91" spans="1:5" x14ac:dyDescent="0.25">
      <c r="A91" s="4">
        <v>89</v>
      </c>
      <c r="B91" s="4" t="s">
        <v>16</v>
      </c>
      <c r="C91" s="6">
        <v>1900000</v>
      </c>
      <c r="D91" s="6">
        <v>1804999</v>
      </c>
      <c r="E91" s="6">
        <f t="shared" si="1"/>
        <v>-95001</v>
      </c>
    </row>
    <row r="92" spans="1:5" x14ac:dyDescent="0.25">
      <c r="A92" s="4">
        <v>90</v>
      </c>
      <c r="B92" s="4" t="s">
        <v>30</v>
      </c>
      <c r="C92" s="6">
        <v>899999</v>
      </c>
      <c r="D92" s="6">
        <v>940500</v>
      </c>
      <c r="E92" s="6">
        <f t="shared" si="1"/>
        <v>40501</v>
      </c>
    </row>
    <row r="93" spans="1:5" x14ac:dyDescent="0.25">
      <c r="A93" s="4">
        <v>91</v>
      </c>
      <c r="B93" s="4" t="s">
        <v>16</v>
      </c>
      <c r="C93" s="6">
        <v>1890000</v>
      </c>
      <c r="D93" s="6">
        <v>1805000</v>
      </c>
      <c r="E93" s="6">
        <f t="shared" si="1"/>
        <v>-85000</v>
      </c>
    </row>
    <row r="94" spans="1:5" x14ac:dyDescent="0.25">
      <c r="A94" s="4">
        <v>92</v>
      </c>
      <c r="B94" s="4" t="s">
        <v>16</v>
      </c>
      <c r="C94" s="6">
        <v>1600000</v>
      </c>
      <c r="D94" s="6">
        <v>1805000</v>
      </c>
      <c r="E94" s="6">
        <f t="shared" si="1"/>
        <v>205000</v>
      </c>
    </row>
    <row r="95" spans="1:5" x14ac:dyDescent="0.25">
      <c r="A95" s="4">
        <v>93</v>
      </c>
      <c r="B95" s="4" t="s">
        <v>26</v>
      </c>
      <c r="C95" s="6">
        <v>1800000</v>
      </c>
      <c r="D95" s="6">
        <v>1900000</v>
      </c>
      <c r="E95" s="6">
        <f t="shared" si="1"/>
        <v>100000</v>
      </c>
    </row>
    <row r="96" spans="1:5" x14ac:dyDescent="0.25">
      <c r="A96" s="4">
        <v>94</v>
      </c>
      <c r="B96" s="4" t="s">
        <v>23</v>
      </c>
      <c r="C96" s="6">
        <v>2700000</v>
      </c>
      <c r="D96" s="6"/>
      <c r="E96" s="6">
        <f t="shared" si="1"/>
        <v>-2700000</v>
      </c>
    </row>
    <row r="97" spans="1:5" x14ac:dyDescent="0.25">
      <c r="A97" s="4">
        <v>95</v>
      </c>
      <c r="B97" s="4" t="s">
        <v>27</v>
      </c>
      <c r="C97" s="6">
        <v>4600000</v>
      </c>
      <c r="D97" s="6"/>
      <c r="E97" s="6">
        <f t="shared" si="1"/>
        <v>-4600000</v>
      </c>
    </row>
    <row r="98" spans="1:5" x14ac:dyDescent="0.25">
      <c r="A98" s="4">
        <v>96</v>
      </c>
      <c r="B98" s="4" t="s">
        <v>27</v>
      </c>
      <c r="C98" s="6">
        <v>4500000</v>
      </c>
      <c r="D98" s="6"/>
      <c r="E98" s="6">
        <f t="shared" si="1"/>
        <v>-4500000</v>
      </c>
    </row>
    <row r="99" spans="1:5" x14ac:dyDescent="0.25">
      <c r="A99" s="4">
        <v>97</v>
      </c>
      <c r="B99" s="4" t="s">
        <v>7</v>
      </c>
      <c r="C99" s="6">
        <v>12299900</v>
      </c>
      <c r="D99" s="6">
        <v>13300000</v>
      </c>
      <c r="E99" s="6">
        <f t="shared" si="1"/>
        <v>1000100</v>
      </c>
    </row>
    <row r="100" spans="1:5" x14ac:dyDescent="0.25">
      <c r="A100" s="4">
        <v>98</v>
      </c>
      <c r="B100" s="4" t="s">
        <v>13</v>
      </c>
      <c r="C100" s="6">
        <v>4250000</v>
      </c>
      <c r="D100" s="6"/>
      <c r="E100" s="6">
        <f t="shared" si="1"/>
        <v>-4250000</v>
      </c>
    </row>
    <row r="101" spans="1:5" x14ac:dyDescent="0.25">
      <c r="A101" s="4">
        <v>99</v>
      </c>
      <c r="B101" s="4" t="s">
        <v>58</v>
      </c>
      <c r="C101" s="6">
        <v>35000</v>
      </c>
      <c r="D101" s="6">
        <v>856900</v>
      </c>
      <c r="E101" s="6">
        <f t="shared" si="1"/>
        <v>821900</v>
      </c>
    </row>
    <row r="102" spans="1:5" x14ac:dyDescent="0.25">
      <c r="A102" s="4">
        <v>100</v>
      </c>
      <c r="B102" s="4" t="s">
        <v>27</v>
      </c>
      <c r="C102" s="6">
        <v>4500000</v>
      </c>
      <c r="D102" s="6"/>
      <c r="E102" s="6">
        <f t="shared" si="1"/>
        <v>-4500000</v>
      </c>
    </row>
    <row r="103" spans="1:5" x14ac:dyDescent="0.25">
      <c r="A103" s="4">
        <v>101</v>
      </c>
      <c r="B103" s="4" t="s">
        <v>26</v>
      </c>
      <c r="C103" s="6">
        <v>1450000</v>
      </c>
      <c r="D103" s="6">
        <v>1900000</v>
      </c>
      <c r="E103" s="6">
        <f t="shared" si="1"/>
        <v>450000</v>
      </c>
    </row>
    <row r="104" spans="1:5" x14ac:dyDescent="0.25">
      <c r="A104" s="4">
        <v>102</v>
      </c>
      <c r="B104" s="4" t="s">
        <v>16</v>
      </c>
      <c r="C104" s="6">
        <v>1900000</v>
      </c>
      <c r="D104" s="6">
        <v>1881000</v>
      </c>
      <c r="E104" s="6">
        <f t="shared" si="1"/>
        <v>-19000</v>
      </c>
    </row>
    <row r="105" spans="1:5" x14ac:dyDescent="0.25">
      <c r="A105" s="4">
        <v>103</v>
      </c>
      <c r="B105" s="4" t="s">
        <v>13</v>
      </c>
      <c r="C105" s="6">
        <v>4100000</v>
      </c>
      <c r="D105" s="6">
        <v>4465000</v>
      </c>
      <c r="E105" s="6">
        <f t="shared" si="1"/>
        <v>365000</v>
      </c>
    </row>
    <row r="106" spans="1:5" x14ac:dyDescent="0.25">
      <c r="A106" s="4">
        <v>104</v>
      </c>
      <c r="B106" s="4" t="s">
        <v>16</v>
      </c>
      <c r="C106" s="6">
        <v>1600000</v>
      </c>
      <c r="D106" s="6">
        <v>1881000</v>
      </c>
      <c r="E106" s="6">
        <f t="shared" si="1"/>
        <v>281000</v>
      </c>
    </row>
    <row r="107" spans="1:5" x14ac:dyDescent="0.25">
      <c r="A107" s="4">
        <v>105</v>
      </c>
      <c r="B107" s="4" t="s">
        <v>16</v>
      </c>
      <c r="C107" s="6">
        <v>1800000</v>
      </c>
      <c r="D107" s="6">
        <v>1881000</v>
      </c>
      <c r="E107" s="6">
        <f t="shared" si="1"/>
        <v>81000</v>
      </c>
    </row>
    <row r="108" spans="1:5" x14ac:dyDescent="0.25">
      <c r="A108" s="4">
        <v>106</v>
      </c>
      <c r="B108" s="4" t="s">
        <v>13</v>
      </c>
      <c r="C108" s="6">
        <v>4299999</v>
      </c>
      <c r="D108" s="6">
        <v>4465000</v>
      </c>
      <c r="E108" s="6">
        <f t="shared" si="1"/>
        <v>165001</v>
      </c>
    </row>
    <row r="109" spans="1:5" x14ac:dyDescent="0.25">
      <c r="A109" s="4">
        <v>107</v>
      </c>
      <c r="B109" s="4" t="s">
        <v>16</v>
      </c>
      <c r="C109" s="6">
        <v>1599999</v>
      </c>
      <c r="D109" s="6">
        <v>1804999</v>
      </c>
      <c r="E109" s="6">
        <f t="shared" si="1"/>
        <v>205000</v>
      </c>
    </row>
    <row r="110" spans="1:5" x14ac:dyDescent="0.25">
      <c r="A110" s="4">
        <v>108</v>
      </c>
      <c r="B110" s="4" t="s">
        <v>23</v>
      </c>
      <c r="C110" s="6">
        <v>2500000</v>
      </c>
      <c r="D110" s="6"/>
      <c r="E110" s="6">
        <f t="shared" si="1"/>
        <v>-2500000</v>
      </c>
    </row>
    <row r="111" spans="1:5" x14ac:dyDescent="0.25">
      <c r="A111" s="4">
        <v>109</v>
      </c>
      <c r="B111" s="4" t="s">
        <v>13</v>
      </c>
      <c r="C111" s="6">
        <v>4099999</v>
      </c>
      <c r="D111" s="6">
        <v>4607500</v>
      </c>
      <c r="E111" s="6">
        <f t="shared" si="1"/>
        <v>507501</v>
      </c>
    </row>
    <row r="112" spans="1:5" x14ac:dyDescent="0.25">
      <c r="A112" s="4">
        <v>110</v>
      </c>
      <c r="B112" s="4" t="s">
        <v>5</v>
      </c>
      <c r="C112" s="6">
        <v>6200000</v>
      </c>
      <c r="D112" s="6">
        <v>6118000</v>
      </c>
      <c r="E112" s="6">
        <f t="shared" si="1"/>
        <v>-82000</v>
      </c>
    </row>
    <row r="113" spans="1:5" x14ac:dyDescent="0.25">
      <c r="A113" s="4">
        <v>111</v>
      </c>
      <c r="B113" s="4" t="s">
        <v>23</v>
      </c>
      <c r="C113" s="6">
        <v>2650000</v>
      </c>
      <c r="D113" s="6"/>
      <c r="E113" s="6">
        <f t="shared" si="1"/>
        <v>-2650000</v>
      </c>
    </row>
    <row r="114" spans="1:5" x14ac:dyDescent="0.25">
      <c r="A114" s="4">
        <v>112</v>
      </c>
      <c r="B114" s="4" t="s">
        <v>7</v>
      </c>
      <c r="C114" s="6">
        <v>12200000</v>
      </c>
      <c r="D114" s="6">
        <v>12350000</v>
      </c>
      <c r="E114" s="6">
        <f t="shared" si="1"/>
        <v>150000</v>
      </c>
    </row>
    <row r="115" spans="1:5" x14ac:dyDescent="0.25">
      <c r="A115" s="4">
        <v>113</v>
      </c>
      <c r="B115" s="4" t="s">
        <v>30</v>
      </c>
      <c r="C115" s="6">
        <v>888888</v>
      </c>
      <c r="D115" s="6">
        <v>949999</v>
      </c>
      <c r="E115" s="6">
        <f t="shared" si="1"/>
        <v>61111</v>
      </c>
    </row>
    <row r="116" spans="1:5" x14ac:dyDescent="0.25">
      <c r="A116" s="4">
        <v>114</v>
      </c>
      <c r="B116" s="4" t="s">
        <v>28</v>
      </c>
      <c r="C116" s="6">
        <v>999999</v>
      </c>
      <c r="D116" s="6">
        <v>1178000</v>
      </c>
      <c r="E116" s="6">
        <f t="shared" si="1"/>
        <v>178001</v>
      </c>
    </row>
    <row r="117" spans="1:5" x14ac:dyDescent="0.25">
      <c r="A117" s="4">
        <v>115</v>
      </c>
      <c r="B117" s="4" t="s">
        <v>13</v>
      </c>
      <c r="C117" s="6">
        <v>3599999</v>
      </c>
      <c r="D117" s="6">
        <v>3705000</v>
      </c>
      <c r="E117" s="6">
        <f t="shared" si="1"/>
        <v>105001</v>
      </c>
    </row>
    <row r="118" spans="1:5" x14ac:dyDescent="0.25">
      <c r="A118" s="88" t="s">
        <v>71</v>
      </c>
      <c r="B118" s="88"/>
      <c r="C118" s="88"/>
      <c r="D118" s="88"/>
      <c r="E118" s="88"/>
    </row>
    <row r="119" spans="1:5" x14ac:dyDescent="0.25">
      <c r="A119" s="89" t="s">
        <v>8</v>
      </c>
      <c r="B119" s="89"/>
      <c r="C119" s="89"/>
      <c r="D119" s="89"/>
      <c r="E119" s="8">
        <v>1409998</v>
      </c>
    </row>
    <row r="120" spans="1:5" x14ac:dyDescent="0.25">
      <c r="A120" s="89" t="s">
        <v>9</v>
      </c>
      <c r="B120" s="89"/>
      <c r="C120" s="89"/>
      <c r="D120" s="89"/>
      <c r="E120" s="8">
        <f>SUM(E3:E117)-E119</f>
        <v>-171526733</v>
      </c>
    </row>
    <row r="121" spans="1:5" x14ac:dyDescent="0.25">
      <c r="C121" s="6"/>
      <c r="D121" s="6"/>
      <c r="E121" s="6"/>
    </row>
    <row r="122" spans="1:5" x14ac:dyDescent="0.25">
      <c r="C122" s="6"/>
      <c r="D122" s="6"/>
      <c r="E122" s="6"/>
    </row>
    <row r="123" spans="1:5" x14ac:dyDescent="0.25">
      <c r="C123" s="6"/>
      <c r="D123" s="6"/>
      <c r="E123" s="6"/>
    </row>
    <row r="124" spans="1:5" x14ac:dyDescent="0.25">
      <c r="C124" s="6"/>
      <c r="D124" s="6"/>
      <c r="E124" s="6"/>
    </row>
    <row r="125" spans="1:5" x14ac:dyDescent="0.25">
      <c r="C125" s="6"/>
      <c r="D125" s="6"/>
      <c r="E125" s="6"/>
    </row>
    <row r="126" spans="1:5" x14ac:dyDescent="0.25">
      <c r="C126" s="6"/>
      <c r="D126" s="6"/>
      <c r="E126" s="6"/>
    </row>
    <row r="127" spans="1:5" x14ac:dyDescent="0.25">
      <c r="C127" s="6"/>
      <c r="D127" s="6"/>
      <c r="E127" s="6"/>
    </row>
    <row r="128" spans="1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20" xr:uid="{FCEBD887-080B-49FB-8B0C-29B9DCB8397B}"/>
  <mergeCells count="6">
    <mergeCell ref="A2:E2"/>
    <mergeCell ref="B162:D162"/>
    <mergeCell ref="B163:D163"/>
    <mergeCell ref="A118:E118"/>
    <mergeCell ref="A119:D119"/>
    <mergeCell ref="A120:D120"/>
  </mergeCells>
  <conditionalFormatting sqref="E1">
    <cfRule type="cellIs" dxfId="16" priority="6" operator="lessThan">
      <formula>0</formula>
    </cfRule>
  </conditionalFormatting>
  <conditionalFormatting sqref="E3:E117 E119:E163">
    <cfRule type="cellIs" dxfId="15" priority="1" operator="lessThan">
      <formula>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FF7F-BE6B-49D6-AA6D-A2B7F1F5CFB0}">
  <dimension ref="A1:E163"/>
  <sheetViews>
    <sheetView zoomScale="145" zoomScaleNormal="145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4.28515625" style="4" bestFit="1" customWidth="1"/>
    <col min="2" max="2" width="42.28515625" style="4" bestFit="1" customWidth="1"/>
    <col min="3" max="3" width="19" style="4" bestFit="1" customWidth="1"/>
    <col min="4" max="4" width="15.570312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46035</v>
      </c>
      <c r="B2" s="88"/>
      <c r="C2" s="88"/>
      <c r="D2" s="88"/>
      <c r="E2" s="88"/>
    </row>
    <row r="3" spans="1:5" x14ac:dyDescent="0.25">
      <c r="A3" s="4">
        <v>1</v>
      </c>
      <c r="B3" s="4" t="s">
        <v>37</v>
      </c>
      <c r="C3" s="6">
        <v>1050000</v>
      </c>
      <c r="D3" s="6">
        <v>1139999</v>
      </c>
      <c r="E3" s="6">
        <f t="shared" ref="E3:E9" si="0">D3-C3</f>
        <v>89999</v>
      </c>
    </row>
    <row r="4" spans="1:5" x14ac:dyDescent="0.25">
      <c r="A4" s="4">
        <v>2</v>
      </c>
      <c r="B4" s="4" t="s">
        <v>16</v>
      </c>
      <c r="C4" s="6">
        <v>3000</v>
      </c>
      <c r="D4" s="6">
        <v>3040001</v>
      </c>
      <c r="E4" s="6">
        <f t="shared" si="0"/>
        <v>3037001</v>
      </c>
    </row>
    <row r="5" spans="1:5" x14ac:dyDescent="0.25">
      <c r="A5" s="4">
        <v>3</v>
      </c>
      <c r="B5" s="4" t="s">
        <v>29</v>
      </c>
      <c r="C5" s="6">
        <v>500000</v>
      </c>
      <c r="D5" s="6">
        <v>711550</v>
      </c>
      <c r="E5" s="6">
        <f t="shared" si="0"/>
        <v>211550</v>
      </c>
    </row>
    <row r="6" spans="1:5" x14ac:dyDescent="0.25">
      <c r="A6" s="4">
        <v>4</v>
      </c>
      <c r="B6" s="4" t="s">
        <v>37</v>
      </c>
      <c r="C6" s="6">
        <v>1000000</v>
      </c>
      <c r="D6" s="6">
        <v>1708100</v>
      </c>
      <c r="E6" s="6">
        <f t="shared" si="0"/>
        <v>708100</v>
      </c>
    </row>
    <row r="7" spans="1:5" x14ac:dyDescent="0.25">
      <c r="A7" s="4">
        <v>5</v>
      </c>
      <c r="B7" s="4" t="s">
        <v>28</v>
      </c>
      <c r="C7" s="6">
        <v>1444444</v>
      </c>
      <c r="D7" s="6">
        <v>1708100</v>
      </c>
      <c r="E7" s="6">
        <f t="shared" si="0"/>
        <v>263656</v>
      </c>
    </row>
    <row r="8" spans="1:5" x14ac:dyDescent="0.25">
      <c r="A8" s="4">
        <v>6</v>
      </c>
      <c r="B8" s="4" t="s">
        <v>49</v>
      </c>
      <c r="C8" s="6">
        <v>139999</v>
      </c>
      <c r="D8" s="6">
        <v>323190</v>
      </c>
      <c r="E8" s="6">
        <f t="shared" si="0"/>
        <v>183191</v>
      </c>
    </row>
    <row r="9" spans="1:5" x14ac:dyDescent="0.25">
      <c r="A9" s="4">
        <v>7</v>
      </c>
      <c r="B9" s="4" t="s">
        <v>37</v>
      </c>
      <c r="C9" s="6">
        <v>1005000</v>
      </c>
      <c r="D9" s="6">
        <v>1463000</v>
      </c>
      <c r="E9" s="6">
        <f t="shared" si="0"/>
        <v>458000</v>
      </c>
    </row>
    <row r="10" spans="1:5" x14ac:dyDescent="0.25">
      <c r="A10" s="89" t="s">
        <v>8</v>
      </c>
      <c r="B10" s="89"/>
      <c r="C10" s="89"/>
      <c r="D10" s="89"/>
      <c r="E10" s="8">
        <v>0</v>
      </c>
    </row>
    <row r="11" spans="1:5" x14ac:dyDescent="0.25">
      <c r="A11" s="89" t="s">
        <v>9</v>
      </c>
      <c r="B11" s="89"/>
      <c r="C11" s="89"/>
      <c r="D11" s="89"/>
      <c r="E11" s="8">
        <f>SUM(E3:E9)-E10</f>
        <v>4951497</v>
      </c>
    </row>
    <row r="12" spans="1:5" x14ac:dyDescent="0.25">
      <c r="C12" s="6"/>
      <c r="D12" s="6"/>
      <c r="E12" s="6"/>
    </row>
    <row r="13" spans="1:5" x14ac:dyDescent="0.25">
      <c r="C13" s="6"/>
      <c r="D13" s="6"/>
      <c r="E13" s="6"/>
    </row>
    <row r="14" spans="1:5" x14ac:dyDescent="0.25">
      <c r="C14" s="6"/>
      <c r="D14" s="6"/>
      <c r="E14" s="6"/>
    </row>
    <row r="15" spans="1:5" x14ac:dyDescent="0.25">
      <c r="C15" s="6"/>
      <c r="D15" s="6"/>
      <c r="E15" s="6"/>
    </row>
    <row r="16" spans="1:5" x14ac:dyDescent="0.25">
      <c r="C16" s="6"/>
      <c r="D16" s="6"/>
      <c r="E16" s="6"/>
    </row>
    <row r="17" spans="2:5" x14ac:dyDescent="0.25">
      <c r="C17" s="6"/>
      <c r="D17" s="6"/>
      <c r="E17" s="6"/>
    </row>
    <row r="18" spans="2:5" x14ac:dyDescent="0.25">
      <c r="C18" s="6"/>
      <c r="D18" s="6"/>
      <c r="E18" s="6"/>
    </row>
    <row r="19" spans="2:5" x14ac:dyDescent="0.25">
      <c r="C19" s="6"/>
      <c r="D19" s="6"/>
      <c r="E19" s="6"/>
    </row>
    <row r="20" spans="2:5" x14ac:dyDescent="0.25">
      <c r="C20" s="6"/>
      <c r="D20" s="6"/>
      <c r="E20" s="6"/>
    </row>
    <row r="21" spans="2:5" x14ac:dyDescent="0.25">
      <c r="C21" s="6"/>
      <c r="D21" s="6"/>
      <c r="E21" s="6"/>
    </row>
    <row r="22" spans="2:5" x14ac:dyDescent="0.25">
      <c r="C22" s="6"/>
      <c r="D22" s="6"/>
      <c r="E22" s="6"/>
    </row>
    <row r="23" spans="2:5" x14ac:dyDescent="0.25">
      <c r="C23" s="6"/>
      <c r="D23" s="6"/>
      <c r="E23" s="6"/>
    </row>
    <row r="24" spans="2:5" x14ac:dyDescent="0.25">
      <c r="B24" s="10"/>
      <c r="C24" s="6"/>
      <c r="D24" s="6"/>
      <c r="E24" s="6"/>
    </row>
    <row r="25" spans="2:5" x14ac:dyDescent="0.25">
      <c r="C25" s="6"/>
      <c r="D25" s="6"/>
      <c r="E25" s="6"/>
    </row>
    <row r="26" spans="2:5" x14ac:dyDescent="0.25">
      <c r="C26" s="6"/>
      <c r="D26" s="6"/>
      <c r="E26" s="6"/>
    </row>
    <row r="27" spans="2:5" x14ac:dyDescent="0.25">
      <c r="C27" s="6"/>
      <c r="D27" s="6"/>
      <c r="E27" s="6"/>
    </row>
    <row r="28" spans="2:5" x14ac:dyDescent="0.25">
      <c r="C28" s="6"/>
      <c r="D28" s="6"/>
      <c r="E28" s="6"/>
    </row>
    <row r="29" spans="2:5" x14ac:dyDescent="0.25">
      <c r="C29" s="6"/>
      <c r="D29" s="6"/>
      <c r="E29" s="6"/>
    </row>
    <row r="30" spans="2:5" x14ac:dyDescent="0.25">
      <c r="C30" s="6"/>
      <c r="D30" s="6"/>
      <c r="E30" s="6"/>
    </row>
    <row r="31" spans="2:5" x14ac:dyDescent="0.25">
      <c r="C31" s="6"/>
      <c r="D31" s="6"/>
      <c r="E31" s="6"/>
    </row>
    <row r="32" spans="2:5" x14ac:dyDescent="0.25">
      <c r="C32" s="6"/>
      <c r="D32" s="6"/>
      <c r="E32" s="6"/>
    </row>
    <row r="33" spans="2:5" x14ac:dyDescent="0.25">
      <c r="C33" s="6"/>
      <c r="D33" s="6"/>
      <c r="E33" s="6"/>
    </row>
    <row r="34" spans="2:5" x14ac:dyDescent="0.25">
      <c r="C34" s="6"/>
      <c r="D34" s="6"/>
      <c r="E34" s="6"/>
    </row>
    <row r="35" spans="2:5" x14ac:dyDescent="0.25">
      <c r="C35" s="6"/>
      <c r="D35" s="6"/>
      <c r="E35" s="6"/>
    </row>
    <row r="36" spans="2:5" x14ac:dyDescent="0.25">
      <c r="C36" s="6"/>
      <c r="D36" s="6"/>
      <c r="E36" s="6"/>
    </row>
    <row r="37" spans="2:5" x14ac:dyDescent="0.25">
      <c r="C37" s="6"/>
      <c r="D37" s="6"/>
      <c r="E37" s="6"/>
    </row>
    <row r="38" spans="2:5" x14ac:dyDescent="0.25">
      <c r="C38" s="6"/>
      <c r="D38" s="6"/>
      <c r="E38" s="6"/>
    </row>
    <row r="39" spans="2:5" x14ac:dyDescent="0.25">
      <c r="C39" s="6"/>
      <c r="D39" s="6"/>
      <c r="E39" s="6"/>
    </row>
    <row r="40" spans="2:5" x14ac:dyDescent="0.25">
      <c r="C40" s="6"/>
      <c r="D40" s="6"/>
      <c r="E40" s="6"/>
    </row>
    <row r="41" spans="2:5" x14ac:dyDescent="0.25">
      <c r="B41" s="10"/>
      <c r="C41" s="6"/>
      <c r="D41" s="6"/>
      <c r="E41" s="6"/>
    </row>
    <row r="42" spans="2:5" x14ac:dyDescent="0.25">
      <c r="B42" s="89"/>
      <c r="C42" s="89"/>
      <c r="D42" s="89"/>
      <c r="E42" s="8"/>
    </row>
    <row r="43" spans="2:5" x14ac:dyDescent="0.25">
      <c r="B43" s="89"/>
      <c r="C43" s="89"/>
      <c r="D43" s="89"/>
      <c r="E43" s="8"/>
    </row>
    <row r="44" spans="2:5" x14ac:dyDescent="0.25">
      <c r="C44" s="6"/>
      <c r="D44" s="6"/>
      <c r="E44" s="6"/>
    </row>
    <row r="45" spans="2:5" x14ac:dyDescent="0.25">
      <c r="C45" s="6"/>
      <c r="D45" s="6"/>
      <c r="E45" s="6"/>
    </row>
    <row r="46" spans="2:5" x14ac:dyDescent="0.25">
      <c r="C46" s="6"/>
      <c r="D46" s="6"/>
      <c r="E46" s="6"/>
    </row>
    <row r="47" spans="2:5" x14ac:dyDescent="0.25">
      <c r="C47" s="6"/>
      <c r="D47" s="6"/>
      <c r="E47" s="6"/>
    </row>
    <row r="48" spans="2:5" x14ac:dyDescent="0.25">
      <c r="C48" s="6"/>
      <c r="D48" s="6"/>
      <c r="E48" s="6"/>
    </row>
    <row r="49" spans="2:5" x14ac:dyDescent="0.25">
      <c r="C49" s="6"/>
      <c r="D49" s="6"/>
      <c r="E49" s="6"/>
    </row>
    <row r="50" spans="2:5" x14ac:dyDescent="0.25">
      <c r="C50" s="6"/>
      <c r="D50" s="6"/>
      <c r="E50" s="6"/>
    </row>
    <row r="51" spans="2:5" x14ac:dyDescent="0.25">
      <c r="B51" s="89"/>
      <c r="C51" s="89"/>
      <c r="D51" s="89"/>
      <c r="E51" s="8"/>
    </row>
    <row r="52" spans="2:5" x14ac:dyDescent="0.25">
      <c r="B52" s="89"/>
      <c r="C52" s="89"/>
      <c r="D52" s="89"/>
      <c r="E52" s="8"/>
    </row>
    <row r="53" spans="2:5" x14ac:dyDescent="0.25">
      <c r="B53" s="10"/>
      <c r="C53" s="6"/>
      <c r="D53" s="6"/>
      <c r="E53" s="6"/>
    </row>
    <row r="54" spans="2:5" x14ac:dyDescent="0.25">
      <c r="B54" s="10"/>
      <c r="C54" s="6"/>
      <c r="D54" s="6"/>
      <c r="E54" s="6"/>
    </row>
    <row r="55" spans="2:5" x14ac:dyDescent="0.25">
      <c r="B55" s="10"/>
      <c r="C55" s="6"/>
      <c r="D55" s="6"/>
      <c r="E55" s="6"/>
    </row>
    <row r="56" spans="2:5" x14ac:dyDescent="0.25">
      <c r="B56" s="10"/>
      <c r="C56" s="6"/>
      <c r="D56" s="6"/>
      <c r="E56" s="6"/>
    </row>
    <row r="57" spans="2:5" x14ac:dyDescent="0.25">
      <c r="B57" s="12"/>
      <c r="C57" s="6"/>
      <c r="D57" s="6"/>
      <c r="E57" s="6"/>
    </row>
    <row r="58" spans="2:5" x14ac:dyDescent="0.25">
      <c r="B58" s="10"/>
      <c r="C58" s="6"/>
      <c r="D58" s="6"/>
      <c r="E58" s="6"/>
    </row>
    <row r="59" spans="2:5" x14ac:dyDescent="0.25">
      <c r="B59" s="10"/>
      <c r="C59" s="6"/>
      <c r="D59" s="6"/>
      <c r="E59" s="6"/>
    </row>
    <row r="60" spans="2:5" x14ac:dyDescent="0.25">
      <c r="B60" s="10"/>
      <c r="C60" s="6"/>
      <c r="D60" s="6"/>
      <c r="E60" s="6"/>
    </row>
    <row r="61" spans="2:5" x14ac:dyDescent="0.25">
      <c r="B61" s="10"/>
      <c r="C61" s="6"/>
      <c r="D61" s="6"/>
      <c r="E61" s="6"/>
    </row>
    <row r="62" spans="2:5" x14ac:dyDescent="0.25">
      <c r="B62" s="10"/>
      <c r="C62" s="6"/>
      <c r="D62" s="6"/>
      <c r="E62" s="6"/>
    </row>
    <row r="63" spans="2:5" x14ac:dyDescent="0.25">
      <c r="B63" s="10"/>
      <c r="C63" s="6"/>
      <c r="D63" s="6"/>
      <c r="E63" s="6"/>
    </row>
    <row r="64" spans="2:5" x14ac:dyDescent="0.25">
      <c r="B64" s="10"/>
      <c r="C64" s="6"/>
      <c r="D64" s="6"/>
      <c r="E64" s="6"/>
    </row>
    <row r="65" spans="2:5" x14ac:dyDescent="0.25">
      <c r="B65" s="10"/>
      <c r="C65" s="6"/>
      <c r="D65" s="6"/>
      <c r="E65" s="6"/>
    </row>
    <row r="66" spans="2:5" x14ac:dyDescent="0.25">
      <c r="B66" s="10"/>
      <c r="C66" s="6"/>
      <c r="D66" s="6"/>
      <c r="E66" s="6"/>
    </row>
    <row r="67" spans="2:5" x14ac:dyDescent="0.25">
      <c r="B67" s="10"/>
      <c r="C67" s="6"/>
      <c r="D67" s="6"/>
      <c r="E67" s="6"/>
    </row>
    <row r="68" spans="2:5" x14ac:dyDescent="0.25">
      <c r="B68" s="10"/>
      <c r="C68" s="6"/>
      <c r="D68" s="6"/>
      <c r="E68" s="6"/>
    </row>
    <row r="69" spans="2:5" x14ac:dyDescent="0.25">
      <c r="B69" s="10"/>
      <c r="C69" s="6"/>
      <c r="D69" s="6"/>
      <c r="E69" s="6"/>
    </row>
    <row r="70" spans="2:5" x14ac:dyDescent="0.25">
      <c r="B70" s="10"/>
      <c r="C70" s="6"/>
      <c r="D70" s="6"/>
      <c r="E70" s="6"/>
    </row>
    <row r="71" spans="2:5" x14ac:dyDescent="0.25">
      <c r="B71" s="10"/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B73" s="10"/>
      <c r="C73" s="6"/>
      <c r="D73" s="6"/>
      <c r="E73" s="6"/>
    </row>
    <row r="74" spans="2:5" x14ac:dyDescent="0.25">
      <c r="B74" s="10"/>
      <c r="C74" s="6"/>
      <c r="D74" s="6"/>
      <c r="E74" s="6"/>
    </row>
    <row r="75" spans="2:5" x14ac:dyDescent="0.25">
      <c r="B75" s="10"/>
      <c r="C75" s="6"/>
      <c r="D75" s="6"/>
      <c r="E75" s="6"/>
    </row>
    <row r="76" spans="2:5" x14ac:dyDescent="0.25">
      <c r="B76" s="10"/>
      <c r="C76" s="6"/>
      <c r="D76" s="6"/>
      <c r="E76" s="6"/>
    </row>
    <row r="77" spans="2:5" x14ac:dyDescent="0.25">
      <c r="B77" s="10"/>
      <c r="C77" s="6"/>
      <c r="D77" s="6"/>
      <c r="E77" s="6"/>
    </row>
    <row r="78" spans="2:5" x14ac:dyDescent="0.25">
      <c r="B78" s="10"/>
      <c r="C78" s="6"/>
      <c r="D78" s="6"/>
      <c r="E78" s="6"/>
    </row>
    <row r="79" spans="2:5" x14ac:dyDescent="0.25">
      <c r="B79" s="10"/>
      <c r="C79" s="6"/>
      <c r="D79" s="6"/>
      <c r="E79" s="6"/>
    </row>
    <row r="80" spans="2:5" x14ac:dyDescent="0.25">
      <c r="B80" s="10"/>
      <c r="C80" s="6"/>
      <c r="D80" s="6"/>
      <c r="E80" s="6"/>
    </row>
    <row r="81" spans="2:5" x14ac:dyDescent="0.25">
      <c r="B81" s="10"/>
      <c r="C81" s="6"/>
      <c r="D81" s="6"/>
      <c r="E81" s="6"/>
    </row>
    <row r="82" spans="2:5" x14ac:dyDescent="0.25">
      <c r="B82" s="10"/>
      <c r="C82" s="6"/>
      <c r="D82" s="6"/>
      <c r="E82" s="6"/>
    </row>
    <row r="83" spans="2:5" x14ac:dyDescent="0.25">
      <c r="B83" s="10"/>
      <c r="C83" s="6"/>
      <c r="D83" s="6"/>
      <c r="E83" s="6"/>
    </row>
    <row r="84" spans="2:5" x14ac:dyDescent="0.25">
      <c r="B84" s="10"/>
      <c r="C84" s="6"/>
      <c r="D84" s="6"/>
      <c r="E84" s="6"/>
    </row>
    <row r="85" spans="2:5" x14ac:dyDescent="0.25">
      <c r="B85" s="10"/>
      <c r="C85" s="6"/>
      <c r="D85" s="6"/>
      <c r="E85" s="6"/>
    </row>
    <row r="86" spans="2:5" x14ac:dyDescent="0.25">
      <c r="B86" s="10"/>
      <c r="C86" s="6"/>
      <c r="D86" s="6"/>
      <c r="E86" s="6"/>
    </row>
    <row r="87" spans="2:5" x14ac:dyDescent="0.25">
      <c r="B87" s="10"/>
      <c r="C87" s="6"/>
      <c r="D87" s="6"/>
      <c r="E87" s="6"/>
    </row>
    <row r="88" spans="2:5" x14ac:dyDescent="0.25">
      <c r="C88" s="6"/>
      <c r="D88" s="6"/>
      <c r="E88" s="6"/>
    </row>
    <row r="89" spans="2:5" x14ac:dyDescent="0.25">
      <c r="C89" s="6"/>
      <c r="D89" s="6"/>
      <c r="E89" s="6"/>
    </row>
    <row r="90" spans="2:5" x14ac:dyDescent="0.25">
      <c r="C90" s="6"/>
      <c r="D90" s="6"/>
      <c r="E90" s="6"/>
    </row>
    <row r="91" spans="2:5" x14ac:dyDescent="0.25">
      <c r="C91" s="6"/>
      <c r="D91" s="6"/>
      <c r="E91" s="6"/>
    </row>
    <row r="92" spans="2:5" x14ac:dyDescent="0.25">
      <c r="C92" s="6"/>
      <c r="D92" s="6"/>
      <c r="E92" s="6"/>
    </row>
    <row r="93" spans="2:5" x14ac:dyDescent="0.25">
      <c r="C93" s="6"/>
      <c r="D93" s="6"/>
      <c r="E93" s="6"/>
    </row>
    <row r="94" spans="2:5" x14ac:dyDescent="0.25">
      <c r="C94" s="6"/>
      <c r="D94" s="6"/>
      <c r="E94" s="6"/>
    </row>
    <row r="95" spans="2:5" x14ac:dyDescent="0.25">
      <c r="C95" s="6"/>
      <c r="D95" s="6"/>
      <c r="E95" s="6"/>
    </row>
    <row r="96" spans="2:5" x14ac:dyDescent="0.25">
      <c r="C96" s="6"/>
      <c r="D96" s="6"/>
      <c r="E96" s="6"/>
    </row>
    <row r="97" spans="2:5" x14ac:dyDescent="0.25">
      <c r="C97" s="6"/>
      <c r="D97" s="6"/>
      <c r="E97" s="6"/>
    </row>
    <row r="98" spans="2:5" x14ac:dyDescent="0.25">
      <c r="C98" s="6"/>
      <c r="D98" s="6"/>
      <c r="E98" s="6"/>
    </row>
    <row r="99" spans="2:5" x14ac:dyDescent="0.25">
      <c r="C99" s="6"/>
      <c r="D99" s="6"/>
      <c r="E99" s="6"/>
    </row>
    <row r="100" spans="2:5" x14ac:dyDescent="0.25">
      <c r="C100" s="6"/>
      <c r="D100" s="6"/>
      <c r="E100" s="6"/>
    </row>
    <row r="101" spans="2:5" x14ac:dyDescent="0.25">
      <c r="B101" s="10"/>
      <c r="C101" s="6"/>
      <c r="D101" s="6"/>
      <c r="E101" s="6"/>
    </row>
    <row r="102" spans="2:5" x14ac:dyDescent="0.25">
      <c r="B102" s="10"/>
      <c r="C102" s="6"/>
      <c r="D102" s="6"/>
      <c r="E102" s="6"/>
    </row>
    <row r="103" spans="2:5" x14ac:dyDescent="0.25">
      <c r="B103" s="10"/>
      <c r="C103" s="6"/>
      <c r="D103" s="6"/>
      <c r="E103" s="6"/>
    </row>
    <row r="104" spans="2:5" x14ac:dyDescent="0.25">
      <c r="B104" s="10"/>
      <c r="C104" s="6"/>
      <c r="D104" s="6"/>
      <c r="E104" s="6"/>
    </row>
    <row r="105" spans="2:5" x14ac:dyDescent="0.25">
      <c r="B105" s="10"/>
      <c r="C105" s="6"/>
      <c r="D105" s="6"/>
      <c r="E105" s="6"/>
    </row>
    <row r="106" spans="2:5" x14ac:dyDescent="0.25">
      <c r="B106" s="10"/>
      <c r="C106" s="6"/>
      <c r="D106" s="6"/>
      <c r="E106" s="6"/>
    </row>
    <row r="107" spans="2:5" x14ac:dyDescent="0.25">
      <c r="C107" s="6"/>
      <c r="D107" s="6"/>
      <c r="E107" s="6"/>
    </row>
    <row r="108" spans="2:5" x14ac:dyDescent="0.25">
      <c r="C108" s="6"/>
      <c r="D108" s="6"/>
      <c r="E108" s="6"/>
    </row>
    <row r="109" spans="2:5" x14ac:dyDescent="0.25">
      <c r="C109" s="6"/>
      <c r="D109" s="6"/>
      <c r="E109" s="6"/>
    </row>
    <row r="110" spans="2:5" x14ac:dyDescent="0.25">
      <c r="C110" s="6"/>
      <c r="D110" s="6"/>
      <c r="E110" s="6"/>
    </row>
    <row r="111" spans="2:5" x14ac:dyDescent="0.25">
      <c r="C111" s="6"/>
      <c r="D111" s="6"/>
      <c r="E111" s="6"/>
    </row>
    <row r="112" spans="2:5" x14ac:dyDescent="0.25">
      <c r="C112" s="6"/>
      <c r="D112" s="6"/>
      <c r="E112" s="6"/>
    </row>
    <row r="113" spans="3:5" x14ac:dyDescent="0.25">
      <c r="C113" s="6"/>
      <c r="D113" s="6"/>
      <c r="E113" s="6"/>
    </row>
    <row r="114" spans="3:5" x14ac:dyDescent="0.25">
      <c r="C114" s="6"/>
      <c r="D114" s="6"/>
      <c r="E114" s="6"/>
    </row>
    <row r="115" spans="3:5" x14ac:dyDescent="0.25">
      <c r="C115" s="6"/>
      <c r="D115" s="6"/>
      <c r="E115" s="6"/>
    </row>
    <row r="116" spans="3:5" x14ac:dyDescent="0.25">
      <c r="C116" s="6"/>
      <c r="D116" s="6"/>
      <c r="E116" s="6"/>
    </row>
    <row r="117" spans="3:5" x14ac:dyDescent="0.25">
      <c r="C117" s="6"/>
      <c r="D117" s="6"/>
      <c r="E117" s="6"/>
    </row>
    <row r="118" spans="3:5" x14ac:dyDescent="0.25">
      <c r="C118" s="6"/>
      <c r="D118" s="6"/>
      <c r="E118" s="6"/>
    </row>
    <row r="119" spans="3:5" x14ac:dyDescent="0.25">
      <c r="C119" s="6"/>
      <c r="D119" s="6"/>
      <c r="E119" s="6"/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11" xr:uid="{4FCFFF7F-BE6B-49D6-AA6D-A2B7F1F5CFB0}"/>
  <mergeCells count="9">
    <mergeCell ref="B163:D163"/>
    <mergeCell ref="A10:D10"/>
    <mergeCell ref="A11:D11"/>
    <mergeCell ref="A2:E2"/>
    <mergeCell ref="B42:D42"/>
    <mergeCell ref="B43:D43"/>
    <mergeCell ref="B51:D51"/>
    <mergeCell ref="B52:D52"/>
    <mergeCell ref="B162:D162"/>
  </mergeCells>
  <conditionalFormatting sqref="E1">
    <cfRule type="cellIs" dxfId="14" priority="5" operator="lessThan">
      <formula>0</formula>
    </cfRule>
  </conditionalFormatting>
  <conditionalFormatting sqref="E3:E163">
    <cfRule type="cellIs" dxfId="13" priority="1" operator="lessThan">
      <formula>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45CAF-BD18-4478-A928-57F174E280F6}">
  <dimension ref="A1:E163"/>
  <sheetViews>
    <sheetView zoomScale="145" zoomScaleNormal="145" workbookViewId="0">
      <pane ySplit="1" topLeftCell="A38" activePane="bottomLeft" state="frozen"/>
      <selection pane="bottomLeft" activeCell="B1" sqref="B1"/>
    </sheetView>
  </sheetViews>
  <sheetFormatPr defaultRowHeight="15" x14ac:dyDescent="0.25"/>
  <cols>
    <col min="1" max="1" width="4.28515625" style="4" bestFit="1" customWidth="1"/>
    <col min="2" max="2" width="42.285156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90">
        <v>46034</v>
      </c>
      <c r="B2" s="91"/>
      <c r="C2" s="91"/>
      <c r="D2" s="91"/>
      <c r="E2" s="91"/>
    </row>
    <row r="3" spans="1:5" x14ac:dyDescent="0.25">
      <c r="A3" s="4">
        <v>1</v>
      </c>
      <c r="B3" s="10" t="s">
        <v>66</v>
      </c>
      <c r="C3" s="6">
        <v>1050000</v>
      </c>
      <c r="D3" s="6">
        <v>1235000</v>
      </c>
      <c r="E3" s="6">
        <f t="shared" ref="E3:E59" si="0">D3-C3</f>
        <v>185000</v>
      </c>
    </row>
    <row r="4" spans="1:5" x14ac:dyDescent="0.25">
      <c r="A4" s="4">
        <v>2</v>
      </c>
      <c r="B4" s="10" t="s">
        <v>66</v>
      </c>
      <c r="C4" s="6">
        <v>1050000</v>
      </c>
      <c r="D4" s="6">
        <v>1235000</v>
      </c>
      <c r="E4" s="6">
        <f t="shared" si="0"/>
        <v>185000</v>
      </c>
    </row>
    <row r="5" spans="1:5" x14ac:dyDescent="0.25">
      <c r="A5" s="4">
        <v>3</v>
      </c>
      <c r="B5" s="4" t="s">
        <v>51</v>
      </c>
      <c r="C5" s="6">
        <v>1699999</v>
      </c>
      <c r="D5" s="6">
        <v>1881000</v>
      </c>
      <c r="E5" s="6">
        <f t="shared" si="0"/>
        <v>181001</v>
      </c>
    </row>
    <row r="6" spans="1:5" x14ac:dyDescent="0.25">
      <c r="A6" s="4">
        <v>4</v>
      </c>
      <c r="B6" s="4" t="s">
        <v>48</v>
      </c>
      <c r="C6" s="6">
        <v>1000000</v>
      </c>
      <c r="D6" s="6">
        <v>1156888</v>
      </c>
      <c r="E6" s="6">
        <f t="shared" si="0"/>
        <v>156888</v>
      </c>
    </row>
    <row r="7" spans="1:5" x14ac:dyDescent="0.25">
      <c r="A7" s="4">
        <v>5</v>
      </c>
      <c r="B7" s="4" t="s">
        <v>6</v>
      </c>
      <c r="C7" s="6">
        <v>8600000</v>
      </c>
      <c r="D7" s="6">
        <v>8700000</v>
      </c>
      <c r="E7" s="6">
        <f t="shared" si="0"/>
        <v>100000</v>
      </c>
    </row>
    <row r="8" spans="1:5" x14ac:dyDescent="0.25">
      <c r="A8" s="4">
        <v>6</v>
      </c>
      <c r="B8" s="4" t="s">
        <v>15</v>
      </c>
      <c r="C8" s="6">
        <v>1900000</v>
      </c>
      <c r="D8" s="6">
        <v>2137500</v>
      </c>
      <c r="E8" s="6">
        <f t="shared" si="0"/>
        <v>237500</v>
      </c>
    </row>
    <row r="9" spans="1:5" x14ac:dyDescent="0.25">
      <c r="A9" s="4">
        <v>7</v>
      </c>
      <c r="B9" s="4" t="s">
        <v>21</v>
      </c>
      <c r="C9" s="6">
        <v>900000</v>
      </c>
      <c r="D9" s="6">
        <v>1083000</v>
      </c>
      <c r="E9" s="6">
        <f t="shared" si="0"/>
        <v>183000</v>
      </c>
    </row>
    <row r="10" spans="1:5" x14ac:dyDescent="0.25">
      <c r="A10" s="4">
        <v>8</v>
      </c>
      <c r="B10" s="4" t="s">
        <v>30</v>
      </c>
      <c r="C10" s="6">
        <v>1100000</v>
      </c>
      <c r="D10" s="6">
        <v>1177050</v>
      </c>
      <c r="E10" s="6">
        <f t="shared" si="0"/>
        <v>77050</v>
      </c>
    </row>
    <row r="11" spans="1:5" x14ac:dyDescent="0.25">
      <c r="A11" s="4">
        <v>9</v>
      </c>
      <c r="B11" s="4" t="s">
        <v>54</v>
      </c>
      <c r="C11" s="6">
        <v>6300000</v>
      </c>
      <c r="D11" s="6">
        <v>6555000</v>
      </c>
      <c r="E11" s="6">
        <f t="shared" si="0"/>
        <v>255000</v>
      </c>
    </row>
    <row r="12" spans="1:5" x14ac:dyDescent="0.25">
      <c r="A12" s="4">
        <v>10</v>
      </c>
      <c r="B12" s="4" t="s">
        <v>67</v>
      </c>
      <c r="C12" s="6">
        <v>400000</v>
      </c>
      <c r="D12" s="6">
        <v>550156</v>
      </c>
      <c r="E12" s="6">
        <f t="shared" si="0"/>
        <v>150156</v>
      </c>
    </row>
    <row r="13" spans="1:5" x14ac:dyDescent="0.25">
      <c r="A13" s="4">
        <v>11</v>
      </c>
      <c r="B13" s="4" t="s">
        <v>21</v>
      </c>
      <c r="C13" s="6">
        <v>930000</v>
      </c>
      <c r="D13" s="6">
        <v>1138943</v>
      </c>
      <c r="E13" s="6">
        <f t="shared" si="0"/>
        <v>208943</v>
      </c>
    </row>
    <row r="14" spans="1:5" x14ac:dyDescent="0.25">
      <c r="A14" s="4">
        <v>12</v>
      </c>
      <c r="B14" s="4" t="s">
        <v>7</v>
      </c>
      <c r="C14" s="6">
        <v>13111111</v>
      </c>
      <c r="D14" s="6">
        <v>13500000</v>
      </c>
      <c r="E14" s="6">
        <f t="shared" si="0"/>
        <v>388889</v>
      </c>
    </row>
    <row r="15" spans="1:5" x14ac:dyDescent="0.25">
      <c r="A15" s="4">
        <v>13</v>
      </c>
      <c r="B15" s="4" t="s">
        <v>16</v>
      </c>
      <c r="C15" s="6">
        <v>2800000</v>
      </c>
      <c r="D15" s="6">
        <v>3135000</v>
      </c>
      <c r="E15" s="6">
        <f t="shared" si="0"/>
        <v>335000</v>
      </c>
    </row>
    <row r="16" spans="1:5" x14ac:dyDescent="0.25">
      <c r="A16" s="4">
        <v>14</v>
      </c>
      <c r="B16" s="4" t="s">
        <v>20</v>
      </c>
      <c r="C16" s="6">
        <v>500000</v>
      </c>
      <c r="D16" s="6">
        <v>741000</v>
      </c>
      <c r="E16" s="6">
        <f t="shared" si="0"/>
        <v>241000</v>
      </c>
    </row>
    <row r="17" spans="1:5" x14ac:dyDescent="0.25">
      <c r="A17" s="4">
        <v>15</v>
      </c>
      <c r="B17" s="4" t="s">
        <v>15</v>
      </c>
      <c r="C17" s="6">
        <v>1900000</v>
      </c>
      <c r="D17" s="6">
        <v>2232500</v>
      </c>
      <c r="E17" s="6">
        <f t="shared" si="0"/>
        <v>332500</v>
      </c>
    </row>
    <row r="18" spans="1:5" x14ac:dyDescent="0.25">
      <c r="A18" s="4">
        <v>16</v>
      </c>
      <c r="B18" s="4" t="s">
        <v>31</v>
      </c>
      <c r="C18" s="6">
        <v>799999</v>
      </c>
      <c r="D18" s="6">
        <v>902500</v>
      </c>
      <c r="E18" s="6">
        <f t="shared" si="0"/>
        <v>102501</v>
      </c>
    </row>
    <row r="19" spans="1:5" x14ac:dyDescent="0.25">
      <c r="A19" s="4">
        <v>17</v>
      </c>
      <c r="B19" s="4" t="s">
        <v>23</v>
      </c>
      <c r="C19" s="6">
        <v>3500000</v>
      </c>
      <c r="D19" s="6">
        <v>3610000</v>
      </c>
      <c r="E19" s="6">
        <f t="shared" si="0"/>
        <v>110000</v>
      </c>
    </row>
    <row r="20" spans="1:5" x14ac:dyDescent="0.25">
      <c r="A20" s="4">
        <v>18</v>
      </c>
      <c r="B20" s="4" t="s">
        <v>31</v>
      </c>
      <c r="C20" s="6">
        <v>600000</v>
      </c>
      <c r="D20" s="6">
        <v>902500</v>
      </c>
      <c r="E20" s="6">
        <f t="shared" si="0"/>
        <v>302500</v>
      </c>
    </row>
    <row r="21" spans="1:5" x14ac:dyDescent="0.25">
      <c r="A21" s="4">
        <v>19</v>
      </c>
      <c r="B21" s="4" t="s">
        <v>67</v>
      </c>
      <c r="C21" s="6">
        <v>450000</v>
      </c>
      <c r="D21" s="6">
        <v>646000</v>
      </c>
      <c r="E21" s="6">
        <f t="shared" si="0"/>
        <v>196000</v>
      </c>
    </row>
    <row r="22" spans="1:5" x14ac:dyDescent="0.25">
      <c r="A22" s="4">
        <v>20</v>
      </c>
      <c r="B22" s="10" t="s">
        <v>35</v>
      </c>
      <c r="C22" s="6">
        <v>950000</v>
      </c>
      <c r="D22" s="6">
        <v>1045000</v>
      </c>
      <c r="E22" s="6">
        <f t="shared" si="0"/>
        <v>95000</v>
      </c>
    </row>
    <row r="23" spans="1:5" x14ac:dyDescent="0.25">
      <c r="A23" s="4">
        <v>21</v>
      </c>
      <c r="B23" s="10" t="s">
        <v>16</v>
      </c>
      <c r="C23" s="6">
        <v>2750000</v>
      </c>
      <c r="D23" s="6">
        <v>2897500</v>
      </c>
      <c r="E23" s="6">
        <f t="shared" si="0"/>
        <v>147500</v>
      </c>
    </row>
    <row r="24" spans="1:5" x14ac:dyDescent="0.25">
      <c r="A24" s="4">
        <v>22</v>
      </c>
      <c r="B24" s="10" t="s">
        <v>30</v>
      </c>
      <c r="C24" s="6">
        <v>999990</v>
      </c>
      <c r="D24" s="6">
        <v>1140000</v>
      </c>
      <c r="E24" s="6">
        <f t="shared" si="0"/>
        <v>140010</v>
      </c>
    </row>
    <row r="25" spans="1:5" x14ac:dyDescent="0.25">
      <c r="A25" s="4">
        <v>23</v>
      </c>
      <c r="B25" s="10" t="s">
        <v>65</v>
      </c>
      <c r="C25" s="6">
        <v>26610030</v>
      </c>
      <c r="D25" s="6">
        <v>34996860</v>
      </c>
      <c r="E25" s="6">
        <f t="shared" si="0"/>
        <v>8386830</v>
      </c>
    </row>
    <row r="26" spans="1:5" x14ac:dyDescent="0.25">
      <c r="A26" s="4">
        <v>24</v>
      </c>
      <c r="B26" s="10" t="s">
        <v>30</v>
      </c>
      <c r="C26" s="6">
        <v>1100000</v>
      </c>
      <c r="D26" s="6">
        <v>1178000</v>
      </c>
      <c r="E26" s="6">
        <f t="shared" si="0"/>
        <v>78000</v>
      </c>
    </row>
    <row r="27" spans="1:5" x14ac:dyDescent="0.25">
      <c r="A27" s="4">
        <v>25</v>
      </c>
      <c r="B27" s="10" t="s">
        <v>67</v>
      </c>
      <c r="C27" s="6">
        <v>530000</v>
      </c>
      <c r="D27" s="6">
        <v>636500</v>
      </c>
      <c r="E27" s="6">
        <f t="shared" si="0"/>
        <v>106500</v>
      </c>
    </row>
    <row r="28" spans="1:5" x14ac:dyDescent="0.25">
      <c r="A28" s="4">
        <v>26</v>
      </c>
      <c r="B28" s="4" t="s">
        <v>16</v>
      </c>
      <c r="C28" s="6">
        <v>2900000</v>
      </c>
      <c r="D28" s="6">
        <v>2945000</v>
      </c>
      <c r="E28" s="6">
        <f t="shared" si="0"/>
        <v>45000</v>
      </c>
    </row>
    <row r="29" spans="1:5" x14ac:dyDescent="0.25">
      <c r="A29" s="4">
        <v>27</v>
      </c>
      <c r="B29" s="4" t="s">
        <v>16</v>
      </c>
      <c r="C29" s="6">
        <v>2800000</v>
      </c>
      <c r="D29" s="6">
        <v>2945000</v>
      </c>
      <c r="E29" s="6">
        <f t="shared" si="0"/>
        <v>145000</v>
      </c>
    </row>
    <row r="30" spans="1:5" x14ac:dyDescent="0.25">
      <c r="A30" s="4">
        <v>28</v>
      </c>
      <c r="B30" s="4" t="s">
        <v>26</v>
      </c>
      <c r="C30" s="6">
        <v>1600000</v>
      </c>
      <c r="D30" s="6">
        <v>1804999</v>
      </c>
      <c r="E30" s="6">
        <f t="shared" si="0"/>
        <v>204999</v>
      </c>
    </row>
    <row r="31" spans="1:5" x14ac:dyDescent="0.25">
      <c r="A31" s="4">
        <v>29</v>
      </c>
      <c r="B31" s="10" t="s">
        <v>67</v>
      </c>
      <c r="C31" s="6">
        <v>550000</v>
      </c>
      <c r="D31" s="6">
        <v>636500</v>
      </c>
      <c r="E31" s="6">
        <f t="shared" si="0"/>
        <v>86500</v>
      </c>
    </row>
    <row r="32" spans="1:5" x14ac:dyDescent="0.25">
      <c r="A32" s="4">
        <v>30</v>
      </c>
      <c r="B32" s="10" t="s">
        <v>67</v>
      </c>
      <c r="C32" s="6">
        <v>550000</v>
      </c>
      <c r="D32" s="6">
        <v>646000</v>
      </c>
      <c r="E32" s="6">
        <f t="shared" si="0"/>
        <v>96000</v>
      </c>
    </row>
    <row r="33" spans="1:5" x14ac:dyDescent="0.25">
      <c r="A33" s="4">
        <v>31</v>
      </c>
      <c r="B33" s="4" t="s">
        <v>36</v>
      </c>
      <c r="C33" s="6">
        <v>400000</v>
      </c>
      <c r="D33" s="6">
        <v>516800</v>
      </c>
      <c r="E33" s="6">
        <f t="shared" si="0"/>
        <v>116800</v>
      </c>
    </row>
    <row r="34" spans="1:5" x14ac:dyDescent="0.25">
      <c r="A34" s="4">
        <v>32</v>
      </c>
      <c r="B34" s="4" t="s">
        <v>26</v>
      </c>
      <c r="C34" s="6">
        <v>1600000</v>
      </c>
      <c r="D34" s="6">
        <v>1795500</v>
      </c>
      <c r="E34" s="6">
        <f t="shared" si="0"/>
        <v>195500</v>
      </c>
    </row>
    <row r="35" spans="1:5" x14ac:dyDescent="0.25">
      <c r="A35" s="4">
        <v>33</v>
      </c>
      <c r="B35" s="10" t="s">
        <v>67</v>
      </c>
      <c r="C35" s="6">
        <v>550000</v>
      </c>
      <c r="D35" s="6">
        <v>654550</v>
      </c>
      <c r="E35" s="6">
        <f t="shared" si="0"/>
        <v>104550</v>
      </c>
    </row>
    <row r="36" spans="1:5" x14ac:dyDescent="0.25">
      <c r="A36" s="4">
        <v>34</v>
      </c>
      <c r="B36" s="4" t="s">
        <v>30</v>
      </c>
      <c r="C36" s="6">
        <v>1100000</v>
      </c>
      <c r="D36" s="6">
        <v>1216000</v>
      </c>
      <c r="E36" s="6">
        <f t="shared" si="0"/>
        <v>116000</v>
      </c>
    </row>
    <row r="37" spans="1:5" x14ac:dyDescent="0.25">
      <c r="A37" s="4">
        <v>35</v>
      </c>
      <c r="B37" s="10" t="s">
        <v>29</v>
      </c>
      <c r="C37" s="6">
        <v>600000</v>
      </c>
      <c r="D37" s="6">
        <v>712500</v>
      </c>
      <c r="E37" s="6">
        <f t="shared" si="0"/>
        <v>112500</v>
      </c>
    </row>
    <row r="38" spans="1:5" x14ac:dyDescent="0.25">
      <c r="A38" s="4">
        <v>36</v>
      </c>
      <c r="B38" s="10" t="s">
        <v>29</v>
      </c>
      <c r="C38" s="6">
        <v>611111</v>
      </c>
      <c r="D38" s="6">
        <v>712500</v>
      </c>
      <c r="E38" s="6">
        <f t="shared" si="0"/>
        <v>101389</v>
      </c>
    </row>
    <row r="39" spans="1:5" x14ac:dyDescent="0.25">
      <c r="A39" s="4">
        <v>37</v>
      </c>
      <c r="B39" s="10" t="s">
        <v>43</v>
      </c>
      <c r="C39" s="6">
        <v>1850000</v>
      </c>
      <c r="D39" s="6">
        <v>1985500</v>
      </c>
      <c r="E39" s="6">
        <f t="shared" si="0"/>
        <v>135500</v>
      </c>
    </row>
    <row r="40" spans="1:5" x14ac:dyDescent="0.25">
      <c r="A40" s="4">
        <v>38</v>
      </c>
      <c r="B40" s="4" t="s">
        <v>62</v>
      </c>
      <c r="C40" s="6">
        <v>500000</v>
      </c>
      <c r="D40" s="6">
        <v>584000</v>
      </c>
      <c r="E40" s="6">
        <f t="shared" si="0"/>
        <v>84000</v>
      </c>
    </row>
    <row r="41" spans="1:5" x14ac:dyDescent="0.25">
      <c r="A41" s="4">
        <v>39</v>
      </c>
      <c r="B41" s="10" t="s">
        <v>43</v>
      </c>
      <c r="C41" s="6">
        <v>1850000</v>
      </c>
      <c r="D41" s="6">
        <v>1985500</v>
      </c>
      <c r="E41" s="6">
        <f t="shared" si="0"/>
        <v>135500</v>
      </c>
    </row>
    <row r="42" spans="1:5" x14ac:dyDescent="0.25">
      <c r="A42" s="4">
        <v>40</v>
      </c>
      <c r="B42" s="10" t="s">
        <v>43</v>
      </c>
      <c r="C42" s="6">
        <v>1800000</v>
      </c>
      <c r="D42" s="6">
        <v>1985500</v>
      </c>
      <c r="E42" s="6">
        <f t="shared" si="0"/>
        <v>185500</v>
      </c>
    </row>
    <row r="43" spans="1:5" x14ac:dyDescent="0.25">
      <c r="A43" s="4">
        <v>44</v>
      </c>
      <c r="B43" s="10" t="s">
        <v>40</v>
      </c>
      <c r="C43" s="6">
        <v>170000</v>
      </c>
      <c r="D43" s="6">
        <v>465500</v>
      </c>
      <c r="E43" s="6">
        <f t="shared" si="0"/>
        <v>295500</v>
      </c>
    </row>
    <row r="44" spans="1:5" x14ac:dyDescent="0.25">
      <c r="A44" s="4">
        <v>45</v>
      </c>
      <c r="B44" s="10" t="s">
        <v>29</v>
      </c>
      <c r="C44" s="6">
        <v>520000</v>
      </c>
      <c r="D44" s="6">
        <v>757150</v>
      </c>
      <c r="E44" s="6">
        <f t="shared" si="0"/>
        <v>237150</v>
      </c>
    </row>
    <row r="45" spans="1:5" x14ac:dyDescent="0.25">
      <c r="A45" s="4">
        <v>46</v>
      </c>
      <c r="B45" s="10" t="s">
        <v>10</v>
      </c>
      <c r="C45" s="6">
        <v>22000000</v>
      </c>
      <c r="D45" s="6">
        <v>23000000</v>
      </c>
      <c r="E45" s="6">
        <f t="shared" si="0"/>
        <v>1000000</v>
      </c>
    </row>
    <row r="46" spans="1:5" x14ac:dyDescent="0.25">
      <c r="A46" s="4">
        <v>47</v>
      </c>
      <c r="B46" s="10" t="s">
        <v>29</v>
      </c>
      <c r="C46" s="6">
        <v>489999</v>
      </c>
      <c r="D46" s="6">
        <v>760000</v>
      </c>
      <c r="E46" s="6">
        <f t="shared" si="0"/>
        <v>270001</v>
      </c>
    </row>
    <row r="47" spans="1:5" x14ac:dyDescent="0.25">
      <c r="A47" s="4">
        <v>48</v>
      </c>
      <c r="B47" s="4" t="s">
        <v>29</v>
      </c>
      <c r="C47" s="6">
        <v>455000</v>
      </c>
      <c r="D47" s="6">
        <v>760000</v>
      </c>
      <c r="E47" s="6">
        <f t="shared" si="0"/>
        <v>305000</v>
      </c>
    </row>
    <row r="48" spans="1:5" x14ac:dyDescent="0.25">
      <c r="A48" s="4">
        <v>49</v>
      </c>
      <c r="B48" s="10" t="s">
        <v>26</v>
      </c>
      <c r="C48" s="6">
        <v>1600000</v>
      </c>
      <c r="D48" s="6">
        <v>1843000</v>
      </c>
      <c r="E48" s="6">
        <f t="shared" si="0"/>
        <v>243000</v>
      </c>
    </row>
    <row r="49" spans="1:5" x14ac:dyDescent="0.25">
      <c r="A49" s="4">
        <v>50</v>
      </c>
      <c r="B49" s="10" t="s">
        <v>15</v>
      </c>
      <c r="C49" s="7">
        <v>1899999</v>
      </c>
      <c r="D49" s="6">
        <v>2135600</v>
      </c>
      <c r="E49" s="6">
        <f t="shared" si="0"/>
        <v>235601</v>
      </c>
    </row>
    <row r="50" spans="1:5" x14ac:dyDescent="0.25">
      <c r="A50" s="4">
        <v>51</v>
      </c>
      <c r="B50" s="10" t="s">
        <v>15</v>
      </c>
      <c r="C50" s="7">
        <v>1899999</v>
      </c>
      <c r="D50" s="6">
        <v>2182150</v>
      </c>
      <c r="E50" s="6">
        <f t="shared" si="0"/>
        <v>282151</v>
      </c>
    </row>
    <row r="51" spans="1:5" x14ac:dyDescent="0.25">
      <c r="A51" s="4">
        <v>52</v>
      </c>
      <c r="B51" s="10" t="s">
        <v>15</v>
      </c>
      <c r="C51" s="7">
        <v>1899999</v>
      </c>
      <c r="D51" s="6">
        <v>2182150</v>
      </c>
      <c r="E51" s="6">
        <f t="shared" si="0"/>
        <v>282151</v>
      </c>
    </row>
    <row r="52" spans="1:5" x14ac:dyDescent="0.25">
      <c r="A52" s="4">
        <v>53</v>
      </c>
      <c r="B52" s="4" t="s">
        <v>28</v>
      </c>
      <c r="C52" s="6">
        <v>1400000</v>
      </c>
      <c r="D52" s="6">
        <v>1539000</v>
      </c>
      <c r="E52" s="6">
        <f t="shared" si="0"/>
        <v>139000</v>
      </c>
    </row>
    <row r="53" spans="1:5" x14ac:dyDescent="0.25">
      <c r="A53" s="4">
        <v>54</v>
      </c>
      <c r="B53" s="4" t="s">
        <v>28</v>
      </c>
      <c r="C53" s="6">
        <v>1400000</v>
      </c>
      <c r="D53" s="6">
        <v>1520000</v>
      </c>
      <c r="E53" s="6">
        <f t="shared" si="0"/>
        <v>120000</v>
      </c>
    </row>
    <row r="54" spans="1:5" x14ac:dyDescent="0.25">
      <c r="A54" s="4">
        <v>55</v>
      </c>
      <c r="B54" s="10" t="s">
        <v>42</v>
      </c>
      <c r="C54" s="6">
        <v>210000</v>
      </c>
      <c r="D54" s="6">
        <v>536750</v>
      </c>
      <c r="E54" s="6">
        <f t="shared" si="0"/>
        <v>326750</v>
      </c>
    </row>
    <row r="55" spans="1:5" x14ac:dyDescent="0.25">
      <c r="A55" s="4">
        <v>57</v>
      </c>
      <c r="B55" s="4" t="s">
        <v>16</v>
      </c>
      <c r="C55" s="6">
        <v>2888888</v>
      </c>
      <c r="D55" s="6">
        <v>2992500</v>
      </c>
      <c r="E55" s="6">
        <f t="shared" si="0"/>
        <v>103612</v>
      </c>
    </row>
    <row r="56" spans="1:5" x14ac:dyDescent="0.25">
      <c r="A56" s="4">
        <v>58</v>
      </c>
      <c r="B56" s="4" t="s">
        <v>10</v>
      </c>
      <c r="C56" s="6">
        <v>22000000</v>
      </c>
      <c r="D56" s="6">
        <v>22798100</v>
      </c>
      <c r="E56" s="6">
        <f t="shared" si="0"/>
        <v>798100</v>
      </c>
    </row>
    <row r="57" spans="1:5" x14ac:dyDescent="0.25">
      <c r="A57" s="4">
        <v>59</v>
      </c>
      <c r="B57" s="4" t="s">
        <v>16</v>
      </c>
      <c r="C57" s="6">
        <v>2850000</v>
      </c>
      <c r="D57" s="6">
        <v>2992500</v>
      </c>
      <c r="E57" s="6">
        <f t="shared" si="0"/>
        <v>142500</v>
      </c>
    </row>
    <row r="58" spans="1:5" x14ac:dyDescent="0.25">
      <c r="A58" s="4">
        <v>61</v>
      </c>
      <c r="B58" s="10" t="s">
        <v>16</v>
      </c>
      <c r="C58" s="6">
        <v>2799999</v>
      </c>
      <c r="D58" s="6">
        <v>2849999</v>
      </c>
      <c r="E58" s="6">
        <f t="shared" si="0"/>
        <v>50000</v>
      </c>
    </row>
    <row r="59" spans="1:5" x14ac:dyDescent="0.25">
      <c r="A59" s="4">
        <v>62</v>
      </c>
      <c r="B59" s="10" t="s">
        <v>37</v>
      </c>
      <c r="C59" s="6">
        <v>1050000</v>
      </c>
      <c r="D59" s="6">
        <v>1138943</v>
      </c>
      <c r="E59" s="6">
        <f t="shared" si="0"/>
        <v>88943</v>
      </c>
    </row>
    <row r="60" spans="1:5" x14ac:dyDescent="0.25">
      <c r="A60" s="89" t="s">
        <v>8</v>
      </c>
      <c r="B60" s="89"/>
      <c r="C60" s="89"/>
      <c r="D60" s="89"/>
      <c r="E60" s="8">
        <v>0</v>
      </c>
    </row>
    <row r="61" spans="1:5" x14ac:dyDescent="0.25">
      <c r="A61" s="89" t="s">
        <v>9</v>
      </c>
      <c r="B61" s="89"/>
      <c r="C61" s="89"/>
      <c r="D61" s="89"/>
      <c r="E61" s="8">
        <f>SUM(E3:E59)-E60</f>
        <v>19665965</v>
      </c>
    </row>
    <row r="62" spans="1:5" x14ac:dyDescent="0.25">
      <c r="B62" s="10"/>
      <c r="C62" s="6"/>
      <c r="D62" s="6"/>
      <c r="E62" s="6"/>
    </row>
    <row r="63" spans="1:5" x14ac:dyDescent="0.25">
      <c r="B63" s="10"/>
      <c r="C63" s="6"/>
      <c r="D63" s="6"/>
      <c r="E63" s="6"/>
    </row>
    <row r="64" spans="1:5" x14ac:dyDescent="0.25">
      <c r="B64" s="10"/>
      <c r="C64" s="6"/>
      <c r="D64" s="6"/>
      <c r="E64" s="6"/>
    </row>
    <row r="65" spans="2:5" x14ac:dyDescent="0.25">
      <c r="B65" s="10"/>
      <c r="C65" s="6"/>
      <c r="D65" s="6"/>
      <c r="E65" s="6"/>
    </row>
    <row r="66" spans="2:5" x14ac:dyDescent="0.25">
      <c r="B66" s="10"/>
      <c r="C66" s="6"/>
      <c r="D66" s="6"/>
      <c r="E66" s="6"/>
    </row>
    <row r="67" spans="2:5" x14ac:dyDescent="0.25">
      <c r="B67" s="10"/>
      <c r="C67" s="6"/>
      <c r="D67" s="6"/>
      <c r="E67" s="6"/>
    </row>
    <row r="68" spans="2:5" x14ac:dyDescent="0.25">
      <c r="B68" s="10"/>
      <c r="C68" s="6"/>
      <c r="D68" s="6"/>
      <c r="E68" s="6"/>
    </row>
    <row r="69" spans="2:5" x14ac:dyDescent="0.25">
      <c r="B69" s="10"/>
      <c r="C69" s="6"/>
      <c r="D69" s="6"/>
      <c r="E69" s="6"/>
    </row>
    <row r="70" spans="2:5" x14ac:dyDescent="0.25">
      <c r="B70" s="10"/>
      <c r="C70" s="6"/>
      <c r="D70" s="6"/>
      <c r="E70" s="6"/>
    </row>
    <row r="71" spans="2:5" x14ac:dyDescent="0.25">
      <c r="B71" s="10"/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B73" s="10"/>
      <c r="C73" s="6"/>
      <c r="D73" s="6"/>
      <c r="E73" s="6"/>
    </row>
    <row r="74" spans="2:5" x14ac:dyDescent="0.25">
      <c r="B74" s="10"/>
      <c r="C74" s="6"/>
      <c r="D74" s="6"/>
      <c r="E74" s="6"/>
    </row>
    <row r="75" spans="2:5" x14ac:dyDescent="0.25">
      <c r="B75" s="10"/>
      <c r="C75" s="6"/>
      <c r="D75" s="6"/>
      <c r="E75" s="6"/>
    </row>
    <row r="76" spans="2:5" x14ac:dyDescent="0.25">
      <c r="B76" s="10"/>
      <c r="C76" s="6"/>
      <c r="D76" s="6"/>
      <c r="E76" s="6"/>
    </row>
    <row r="77" spans="2:5" x14ac:dyDescent="0.25">
      <c r="B77" s="10"/>
      <c r="C77" s="6"/>
      <c r="D77" s="6"/>
      <c r="E77" s="6"/>
    </row>
    <row r="78" spans="2:5" x14ac:dyDescent="0.25">
      <c r="B78" s="10"/>
      <c r="C78" s="6"/>
      <c r="D78" s="6"/>
      <c r="E78" s="6"/>
    </row>
    <row r="79" spans="2:5" x14ac:dyDescent="0.25">
      <c r="B79" s="10"/>
      <c r="C79" s="6"/>
      <c r="D79" s="6"/>
      <c r="E79" s="6"/>
    </row>
    <row r="80" spans="2:5" x14ac:dyDescent="0.25">
      <c r="B80" s="10"/>
      <c r="C80" s="6"/>
      <c r="D80" s="6"/>
      <c r="E80" s="6"/>
    </row>
    <row r="81" spans="2:5" x14ac:dyDescent="0.25">
      <c r="B81" s="10"/>
      <c r="C81" s="6"/>
      <c r="D81" s="6"/>
      <c r="E81" s="6"/>
    </row>
    <row r="82" spans="2:5" x14ac:dyDescent="0.25">
      <c r="B82" s="10"/>
      <c r="C82" s="6"/>
      <c r="D82" s="6"/>
      <c r="E82" s="6"/>
    </row>
    <row r="83" spans="2:5" x14ac:dyDescent="0.25">
      <c r="B83" s="10"/>
      <c r="C83" s="6"/>
      <c r="D83" s="6"/>
      <c r="E83" s="6"/>
    </row>
    <row r="84" spans="2:5" x14ac:dyDescent="0.25">
      <c r="B84" s="10"/>
      <c r="C84" s="6"/>
      <c r="D84" s="6"/>
      <c r="E84" s="6"/>
    </row>
    <row r="85" spans="2:5" x14ac:dyDescent="0.25">
      <c r="B85" s="10"/>
      <c r="C85" s="6"/>
      <c r="D85" s="6"/>
      <c r="E85" s="6"/>
    </row>
    <row r="86" spans="2:5" x14ac:dyDescent="0.25">
      <c r="B86" s="10"/>
      <c r="C86" s="6"/>
      <c r="D86" s="6"/>
      <c r="E86" s="6"/>
    </row>
    <row r="87" spans="2:5" x14ac:dyDescent="0.25">
      <c r="B87" s="10"/>
      <c r="C87" s="6"/>
      <c r="D87" s="6"/>
      <c r="E87" s="6"/>
    </row>
    <row r="88" spans="2:5" x14ac:dyDescent="0.25">
      <c r="C88" s="6"/>
      <c r="D88" s="6"/>
      <c r="E88" s="6"/>
    </row>
    <row r="89" spans="2:5" x14ac:dyDescent="0.25">
      <c r="C89" s="6"/>
      <c r="D89" s="6"/>
      <c r="E89" s="6"/>
    </row>
    <row r="90" spans="2:5" x14ac:dyDescent="0.25">
      <c r="C90" s="6"/>
      <c r="D90" s="6"/>
      <c r="E90" s="6"/>
    </row>
    <row r="91" spans="2:5" x14ac:dyDescent="0.25">
      <c r="C91" s="6"/>
      <c r="D91" s="6"/>
      <c r="E91" s="6"/>
    </row>
    <row r="92" spans="2:5" x14ac:dyDescent="0.25">
      <c r="C92" s="6"/>
      <c r="D92" s="6"/>
      <c r="E92" s="6"/>
    </row>
    <row r="93" spans="2:5" x14ac:dyDescent="0.25">
      <c r="C93" s="6"/>
      <c r="D93" s="6"/>
      <c r="E93" s="6"/>
    </row>
    <row r="94" spans="2:5" x14ac:dyDescent="0.25">
      <c r="C94" s="6"/>
      <c r="D94" s="6"/>
      <c r="E94" s="6"/>
    </row>
    <row r="95" spans="2:5" x14ac:dyDescent="0.25">
      <c r="C95" s="6"/>
      <c r="D95" s="6"/>
      <c r="E95" s="6"/>
    </row>
    <row r="96" spans="2:5" x14ac:dyDescent="0.25">
      <c r="C96" s="6"/>
      <c r="D96" s="6"/>
      <c r="E96" s="6"/>
    </row>
    <row r="97" spans="2:5" x14ac:dyDescent="0.25">
      <c r="C97" s="6"/>
      <c r="D97" s="6"/>
      <c r="E97" s="6"/>
    </row>
    <row r="98" spans="2:5" x14ac:dyDescent="0.25">
      <c r="C98" s="6"/>
      <c r="D98" s="6"/>
      <c r="E98" s="6"/>
    </row>
    <row r="99" spans="2:5" x14ac:dyDescent="0.25">
      <c r="C99" s="6"/>
      <c r="D99" s="6"/>
      <c r="E99" s="6"/>
    </row>
    <row r="100" spans="2:5" x14ac:dyDescent="0.25">
      <c r="C100" s="6"/>
      <c r="D100" s="6"/>
      <c r="E100" s="6"/>
    </row>
    <row r="101" spans="2:5" x14ac:dyDescent="0.25">
      <c r="B101" s="10"/>
      <c r="C101" s="6"/>
      <c r="D101" s="6"/>
      <c r="E101" s="6"/>
    </row>
    <row r="102" spans="2:5" x14ac:dyDescent="0.25">
      <c r="B102" s="10"/>
      <c r="C102" s="6"/>
      <c r="D102" s="6"/>
      <c r="E102" s="6"/>
    </row>
    <row r="103" spans="2:5" x14ac:dyDescent="0.25">
      <c r="B103" s="10"/>
      <c r="C103" s="6"/>
      <c r="D103" s="6"/>
      <c r="E103" s="6"/>
    </row>
    <row r="104" spans="2:5" x14ac:dyDescent="0.25">
      <c r="B104" s="10"/>
      <c r="C104" s="6"/>
      <c r="D104" s="6"/>
      <c r="E104" s="6"/>
    </row>
    <row r="105" spans="2:5" x14ac:dyDescent="0.25">
      <c r="B105" s="10"/>
      <c r="C105" s="6"/>
      <c r="D105" s="6"/>
      <c r="E105" s="6"/>
    </row>
    <row r="106" spans="2:5" x14ac:dyDescent="0.25">
      <c r="B106" s="10"/>
      <c r="C106" s="6"/>
      <c r="D106" s="6"/>
      <c r="E106" s="6"/>
    </row>
    <row r="107" spans="2:5" x14ac:dyDescent="0.25">
      <c r="C107" s="6"/>
      <c r="D107" s="6"/>
      <c r="E107" s="6"/>
    </row>
    <row r="108" spans="2:5" x14ac:dyDescent="0.25">
      <c r="C108" s="6"/>
      <c r="D108" s="6"/>
      <c r="E108" s="6"/>
    </row>
    <row r="109" spans="2:5" x14ac:dyDescent="0.25">
      <c r="C109" s="6"/>
      <c r="D109" s="6"/>
      <c r="E109" s="6"/>
    </row>
    <row r="110" spans="2:5" x14ac:dyDescent="0.25">
      <c r="C110" s="6"/>
      <c r="D110" s="6"/>
      <c r="E110" s="6"/>
    </row>
    <row r="111" spans="2:5" x14ac:dyDescent="0.25">
      <c r="C111" s="6"/>
      <c r="D111" s="6"/>
      <c r="E111" s="6"/>
    </row>
    <row r="112" spans="2:5" x14ac:dyDescent="0.25">
      <c r="C112" s="6"/>
      <c r="D112" s="6"/>
      <c r="E112" s="6"/>
    </row>
    <row r="113" spans="3:5" x14ac:dyDescent="0.25">
      <c r="C113" s="6"/>
      <c r="D113" s="6"/>
      <c r="E113" s="6"/>
    </row>
    <row r="114" spans="3:5" x14ac:dyDescent="0.25">
      <c r="C114" s="6"/>
      <c r="D114" s="6"/>
      <c r="E114" s="6"/>
    </row>
    <row r="115" spans="3:5" x14ac:dyDescent="0.25">
      <c r="C115" s="6"/>
      <c r="D115" s="6"/>
      <c r="E115" s="6"/>
    </row>
    <row r="116" spans="3:5" x14ac:dyDescent="0.25">
      <c r="C116" s="6"/>
      <c r="D116" s="6"/>
      <c r="E116" s="6"/>
    </row>
    <row r="117" spans="3:5" x14ac:dyDescent="0.25">
      <c r="C117" s="6"/>
      <c r="D117" s="6"/>
      <c r="E117" s="6"/>
    </row>
    <row r="118" spans="3:5" x14ac:dyDescent="0.25">
      <c r="C118" s="6"/>
      <c r="D118" s="6"/>
      <c r="E118" s="6"/>
    </row>
    <row r="119" spans="3:5" x14ac:dyDescent="0.25">
      <c r="C119" s="6"/>
      <c r="D119" s="6"/>
      <c r="E119" s="6"/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61" xr:uid="{8E345CAF-BD18-4478-A928-57F174E280F6}"/>
  <mergeCells count="5">
    <mergeCell ref="B163:D163"/>
    <mergeCell ref="A60:D60"/>
    <mergeCell ref="A61:D61"/>
    <mergeCell ref="A2:E2"/>
    <mergeCell ref="B162:D162"/>
  </mergeCells>
  <conditionalFormatting sqref="E1">
    <cfRule type="cellIs" dxfId="12" priority="5" operator="lessThan">
      <formula>0</formula>
    </cfRule>
  </conditionalFormatting>
  <conditionalFormatting sqref="E3:E163">
    <cfRule type="cellIs" dxfId="11" priority="1" operator="lessThan">
      <formula>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4E63E-08D7-46CB-B398-6391E06805BD}">
  <dimension ref="A1:E163"/>
  <sheetViews>
    <sheetView zoomScale="145" zoomScaleNormal="145" workbookViewId="0">
      <pane ySplit="1" topLeftCell="A35" activePane="bottomLeft" state="frozen"/>
      <selection pane="bottomLeft" activeCell="F28" sqref="F28"/>
    </sheetView>
  </sheetViews>
  <sheetFormatPr defaultRowHeight="15" x14ac:dyDescent="0.25"/>
  <cols>
    <col min="1" max="1" width="4.28515625" style="4" bestFit="1" customWidth="1"/>
    <col min="2" max="2" width="36.1406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46033</v>
      </c>
      <c r="B2" s="88"/>
      <c r="C2" s="88"/>
      <c r="D2" s="88"/>
      <c r="E2" s="88"/>
    </row>
    <row r="3" spans="1:5" x14ac:dyDescent="0.25">
      <c r="A3" s="4">
        <v>1</v>
      </c>
      <c r="B3" s="4" t="s">
        <v>58</v>
      </c>
      <c r="C3" s="6">
        <v>45554</v>
      </c>
      <c r="D3" s="6">
        <v>177658</v>
      </c>
      <c r="E3" s="6">
        <f t="shared" ref="E3:E41" si="0">D3-C3</f>
        <v>132104</v>
      </c>
    </row>
    <row r="4" spans="1:5" x14ac:dyDescent="0.25">
      <c r="A4" s="4">
        <v>2</v>
      </c>
      <c r="B4" s="4" t="s">
        <v>41</v>
      </c>
      <c r="C4" s="6">
        <v>1580000</v>
      </c>
      <c r="D4" s="6">
        <v>1615000</v>
      </c>
      <c r="E4" s="6">
        <f t="shared" si="0"/>
        <v>35000</v>
      </c>
    </row>
    <row r="5" spans="1:5" x14ac:dyDescent="0.25">
      <c r="A5" s="4">
        <v>3</v>
      </c>
      <c r="B5" s="4" t="s">
        <v>25</v>
      </c>
      <c r="C5" s="6">
        <v>9500000</v>
      </c>
      <c r="D5" s="6">
        <v>9737500</v>
      </c>
      <c r="E5" s="6">
        <f t="shared" si="0"/>
        <v>237500</v>
      </c>
    </row>
    <row r="6" spans="1:5" x14ac:dyDescent="0.25">
      <c r="A6" s="4">
        <v>4</v>
      </c>
      <c r="B6" s="4" t="s">
        <v>59</v>
      </c>
      <c r="C6" s="6">
        <v>47777</v>
      </c>
      <c r="D6" s="6">
        <v>169200</v>
      </c>
      <c r="E6" s="6">
        <f t="shared" si="0"/>
        <v>121423</v>
      </c>
    </row>
    <row r="7" spans="1:5" x14ac:dyDescent="0.25">
      <c r="A7" s="4">
        <v>5</v>
      </c>
      <c r="B7" s="4" t="s">
        <v>41</v>
      </c>
      <c r="C7" s="6">
        <v>1500000</v>
      </c>
      <c r="D7" s="6">
        <v>1615000</v>
      </c>
      <c r="E7" s="6">
        <f t="shared" si="0"/>
        <v>115000</v>
      </c>
    </row>
    <row r="8" spans="1:5" x14ac:dyDescent="0.25">
      <c r="A8" s="4">
        <v>6</v>
      </c>
      <c r="B8" s="4" t="s">
        <v>26</v>
      </c>
      <c r="C8" s="6">
        <v>1500000</v>
      </c>
      <c r="D8" s="6">
        <v>1662500</v>
      </c>
      <c r="E8" s="6">
        <f t="shared" si="0"/>
        <v>162500</v>
      </c>
    </row>
    <row r="9" spans="1:5" x14ac:dyDescent="0.25">
      <c r="A9" s="4">
        <v>7</v>
      </c>
      <c r="B9" s="4" t="s">
        <v>60</v>
      </c>
      <c r="C9" s="6">
        <v>119999</v>
      </c>
      <c r="D9" s="6">
        <v>281099</v>
      </c>
      <c r="E9" s="6">
        <f t="shared" si="0"/>
        <v>161100</v>
      </c>
    </row>
    <row r="10" spans="1:5" x14ac:dyDescent="0.25">
      <c r="A10" s="4">
        <v>8</v>
      </c>
      <c r="B10" s="4" t="s">
        <v>42</v>
      </c>
      <c r="C10" s="6">
        <v>900000</v>
      </c>
      <c r="D10" s="6">
        <v>1192725</v>
      </c>
      <c r="E10" s="6">
        <f t="shared" si="0"/>
        <v>292725</v>
      </c>
    </row>
    <row r="11" spans="1:5" x14ac:dyDescent="0.25">
      <c r="A11" s="4">
        <v>9</v>
      </c>
      <c r="B11" s="4" t="s">
        <v>54</v>
      </c>
      <c r="C11" s="6">
        <v>6500000</v>
      </c>
      <c r="D11" s="6">
        <v>6649050</v>
      </c>
      <c r="E11" s="6">
        <f t="shared" si="0"/>
        <v>149050</v>
      </c>
    </row>
    <row r="12" spans="1:5" x14ac:dyDescent="0.25">
      <c r="A12" s="4">
        <v>10</v>
      </c>
      <c r="B12" s="4" t="s">
        <v>51</v>
      </c>
      <c r="C12" s="6">
        <v>1777777</v>
      </c>
      <c r="D12" s="6">
        <v>1900000</v>
      </c>
      <c r="E12" s="6">
        <f t="shared" si="0"/>
        <v>122223</v>
      </c>
    </row>
    <row r="13" spans="1:5" x14ac:dyDescent="0.25">
      <c r="A13" s="4">
        <v>11</v>
      </c>
      <c r="B13" s="4" t="s">
        <v>35</v>
      </c>
      <c r="C13" s="6">
        <v>1000000</v>
      </c>
      <c r="D13" s="6">
        <v>1138100</v>
      </c>
      <c r="E13" s="6">
        <f t="shared" si="0"/>
        <v>138100</v>
      </c>
    </row>
    <row r="14" spans="1:5" x14ac:dyDescent="0.25">
      <c r="A14" s="4">
        <v>12</v>
      </c>
      <c r="B14" s="4" t="s">
        <v>16</v>
      </c>
      <c r="C14" s="6">
        <v>2700000</v>
      </c>
      <c r="D14" s="6">
        <v>2944999</v>
      </c>
      <c r="E14" s="6">
        <f t="shared" si="0"/>
        <v>244999</v>
      </c>
    </row>
    <row r="15" spans="1:5" x14ac:dyDescent="0.25">
      <c r="A15" s="4">
        <v>13</v>
      </c>
      <c r="B15" s="4" t="s">
        <v>28</v>
      </c>
      <c r="C15" s="6">
        <v>1450000</v>
      </c>
      <c r="D15" s="6">
        <v>1709999</v>
      </c>
      <c r="E15" s="6">
        <f t="shared" si="0"/>
        <v>259999</v>
      </c>
    </row>
    <row r="16" spans="1:5" x14ac:dyDescent="0.25">
      <c r="A16" s="4">
        <v>14</v>
      </c>
      <c r="B16" s="4" t="s">
        <v>26</v>
      </c>
      <c r="C16" s="6">
        <v>1599999</v>
      </c>
      <c r="D16" s="6">
        <v>1795500</v>
      </c>
      <c r="E16" s="6">
        <f t="shared" si="0"/>
        <v>195501</v>
      </c>
    </row>
    <row r="17" spans="1:5" x14ac:dyDescent="0.25">
      <c r="A17" s="4">
        <v>15</v>
      </c>
      <c r="B17" s="4" t="s">
        <v>26</v>
      </c>
      <c r="C17" s="6">
        <v>1400001</v>
      </c>
      <c r="D17" s="6">
        <v>1795500</v>
      </c>
      <c r="E17" s="6">
        <f t="shared" si="0"/>
        <v>395499</v>
      </c>
    </row>
    <row r="18" spans="1:5" x14ac:dyDescent="0.25">
      <c r="A18" s="4">
        <v>16</v>
      </c>
      <c r="B18" s="4" t="s">
        <v>15</v>
      </c>
      <c r="C18" s="6">
        <v>1900000</v>
      </c>
      <c r="D18" s="6">
        <v>2061500</v>
      </c>
      <c r="E18" s="6">
        <f t="shared" si="0"/>
        <v>161500</v>
      </c>
    </row>
    <row r="19" spans="1:5" x14ac:dyDescent="0.25">
      <c r="A19" s="4">
        <v>17</v>
      </c>
      <c r="B19" s="4" t="s">
        <v>27</v>
      </c>
      <c r="C19" s="6">
        <v>5500000</v>
      </c>
      <c r="D19" s="6">
        <v>5700000</v>
      </c>
      <c r="E19" s="6">
        <f t="shared" si="0"/>
        <v>200000</v>
      </c>
    </row>
    <row r="20" spans="1:5" x14ac:dyDescent="0.25">
      <c r="A20" s="4">
        <v>18</v>
      </c>
      <c r="B20" s="4" t="s">
        <v>16</v>
      </c>
      <c r="C20" s="6">
        <v>2800000</v>
      </c>
      <c r="D20" s="6">
        <v>2850000</v>
      </c>
      <c r="E20" s="6">
        <f t="shared" si="0"/>
        <v>50000</v>
      </c>
    </row>
    <row r="21" spans="1:5" x14ac:dyDescent="0.25">
      <c r="A21" s="4">
        <v>19</v>
      </c>
      <c r="B21" s="4" t="s">
        <v>55</v>
      </c>
      <c r="C21" s="6">
        <v>129999</v>
      </c>
      <c r="D21" s="6">
        <v>524400</v>
      </c>
      <c r="E21" s="6">
        <f t="shared" si="0"/>
        <v>394401</v>
      </c>
    </row>
    <row r="22" spans="1:5" x14ac:dyDescent="0.25">
      <c r="A22" s="4">
        <v>20</v>
      </c>
      <c r="B22" s="4" t="s">
        <v>61</v>
      </c>
      <c r="C22" s="6">
        <v>549999</v>
      </c>
      <c r="D22" s="6">
        <v>665000</v>
      </c>
      <c r="E22" s="6">
        <f t="shared" si="0"/>
        <v>115001</v>
      </c>
    </row>
    <row r="23" spans="1:5" x14ac:dyDescent="0.25">
      <c r="A23" s="4">
        <v>21</v>
      </c>
      <c r="B23" s="4" t="s">
        <v>27</v>
      </c>
      <c r="C23" s="6">
        <v>5500000</v>
      </c>
      <c r="D23" s="6">
        <v>5605000</v>
      </c>
      <c r="E23" s="6">
        <f t="shared" si="0"/>
        <v>105000</v>
      </c>
    </row>
    <row r="24" spans="1:5" x14ac:dyDescent="0.25">
      <c r="A24" s="4">
        <v>22</v>
      </c>
      <c r="B24" s="10" t="s">
        <v>34</v>
      </c>
      <c r="C24" s="6">
        <v>5700000</v>
      </c>
      <c r="D24" s="6">
        <v>5890000</v>
      </c>
      <c r="E24" s="6">
        <f t="shared" si="0"/>
        <v>190000</v>
      </c>
    </row>
    <row r="25" spans="1:5" x14ac:dyDescent="0.25">
      <c r="A25" s="4">
        <v>23</v>
      </c>
      <c r="B25" s="4" t="s">
        <v>27</v>
      </c>
      <c r="C25" s="6">
        <v>5700000</v>
      </c>
      <c r="D25" s="6">
        <v>5605000</v>
      </c>
      <c r="E25" s="6">
        <f t="shared" si="0"/>
        <v>-95000</v>
      </c>
    </row>
    <row r="26" spans="1:5" x14ac:dyDescent="0.25">
      <c r="A26" s="4">
        <v>24</v>
      </c>
      <c r="B26" s="4" t="s">
        <v>62</v>
      </c>
      <c r="C26" s="6">
        <v>575000</v>
      </c>
      <c r="D26" s="6">
        <v>720000</v>
      </c>
      <c r="E26" s="6">
        <f t="shared" si="0"/>
        <v>145000</v>
      </c>
    </row>
    <row r="27" spans="1:5" x14ac:dyDescent="0.25">
      <c r="A27" s="4">
        <v>25</v>
      </c>
      <c r="B27" s="4" t="s">
        <v>59</v>
      </c>
      <c r="C27" s="6">
        <v>1000000</v>
      </c>
      <c r="D27" s="6">
        <v>1108000</v>
      </c>
      <c r="E27" s="6">
        <f t="shared" si="0"/>
        <v>108000</v>
      </c>
    </row>
    <row r="28" spans="1:5" x14ac:dyDescent="0.25">
      <c r="A28" s="4">
        <v>26</v>
      </c>
      <c r="B28" s="4" t="s">
        <v>51</v>
      </c>
      <c r="C28" s="6">
        <v>1600000</v>
      </c>
      <c r="D28" s="6">
        <v>1900000</v>
      </c>
      <c r="E28" s="6">
        <f t="shared" si="0"/>
        <v>300000</v>
      </c>
    </row>
    <row r="29" spans="1:5" x14ac:dyDescent="0.25">
      <c r="A29" s="4">
        <v>27</v>
      </c>
      <c r="B29" s="4" t="s">
        <v>63</v>
      </c>
      <c r="C29" s="6">
        <v>1559998</v>
      </c>
      <c r="D29" s="6">
        <v>1835400</v>
      </c>
      <c r="E29" s="6">
        <f t="shared" si="0"/>
        <v>275402</v>
      </c>
    </row>
    <row r="30" spans="1:5" x14ac:dyDescent="0.25">
      <c r="A30" s="4">
        <v>28</v>
      </c>
      <c r="B30" s="4" t="s">
        <v>64</v>
      </c>
      <c r="C30" s="6">
        <v>55555</v>
      </c>
      <c r="D30" s="6">
        <v>262200</v>
      </c>
      <c r="E30" s="6">
        <f t="shared" si="0"/>
        <v>206645</v>
      </c>
    </row>
    <row r="31" spans="1:5" x14ac:dyDescent="0.25">
      <c r="A31" s="4">
        <v>29</v>
      </c>
      <c r="B31" s="4" t="s">
        <v>7</v>
      </c>
      <c r="C31" s="6">
        <v>13200000</v>
      </c>
      <c r="D31" s="6">
        <v>13300000</v>
      </c>
      <c r="E31" s="6">
        <f t="shared" si="0"/>
        <v>100000</v>
      </c>
    </row>
    <row r="32" spans="1:5" x14ac:dyDescent="0.25">
      <c r="A32" s="4">
        <v>30</v>
      </c>
      <c r="B32" s="4" t="s">
        <v>29</v>
      </c>
      <c r="C32" s="6">
        <v>600000</v>
      </c>
      <c r="D32" s="6">
        <v>707752</v>
      </c>
      <c r="E32" s="6">
        <f t="shared" si="0"/>
        <v>107752</v>
      </c>
    </row>
    <row r="33" spans="1:5" x14ac:dyDescent="0.25">
      <c r="A33" s="4">
        <v>31</v>
      </c>
      <c r="B33" s="4" t="s">
        <v>7</v>
      </c>
      <c r="C33" s="6">
        <v>13000000</v>
      </c>
      <c r="D33" s="6">
        <v>13157500</v>
      </c>
      <c r="E33" s="6">
        <f t="shared" si="0"/>
        <v>157500</v>
      </c>
    </row>
    <row r="34" spans="1:5" x14ac:dyDescent="0.25">
      <c r="A34" s="4">
        <v>32</v>
      </c>
      <c r="B34" s="4" t="s">
        <v>41</v>
      </c>
      <c r="C34" s="6">
        <v>1300000</v>
      </c>
      <c r="D34" s="6">
        <v>1614999</v>
      </c>
      <c r="E34" s="6">
        <f t="shared" si="0"/>
        <v>314999</v>
      </c>
    </row>
    <row r="35" spans="1:5" x14ac:dyDescent="0.25">
      <c r="A35" s="4">
        <v>33</v>
      </c>
      <c r="B35" s="4" t="s">
        <v>53</v>
      </c>
      <c r="C35" s="6">
        <v>500000</v>
      </c>
      <c r="D35" s="6">
        <v>750500</v>
      </c>
      <c r="E35" s="6">
        <f t="shared" si="0"/>
        <v>250500</v>
      </c>
    </row>
    <row r="36" spans="1:5" x14ac:dyDescent="0.25">
      <c r="A36" s="4">
        <v>34</v>
      </c>
      <c r="B36" s="4" t="s">
        <v>24</v>
      </c>
      <c r="C36" s="6">
        <v>3500000</v>
      </c>
      <c r="D36" s="6">
        <v>3605250</v>
      </c>
      <c r="E36" s="6">
        <f t="shared" si="0"/>
        <v>105250</v>
      </c>
    </row>
    <row r="37" spans="1:5" x14ac:dyDescent="0.25">
      <c r="A37" s="4">
        <v>35</v>
      </c>
      <c r="B37" s="4" t="s">
        <v>35</v>
      </c>
      <c r="C37" s="6">
        <v>1095000</v>
      </c>
      <c r="D37" s="6">
        <v>1138840</v>
      </c>
      <c r="E37" s="6">
        <f t="shared" si="0"/>
        <v>43840</v>
      </c>
    </row>
    <row r="38" spans="1:5" x14ac:dyDescent="0.25">
      <c r="A38" s="4">
        <v>36</v>
      </c>
      <c r="B38" s="4" t="s">
        <v>21</v>
      </c>
      <c r="C38" s="6">
        <v>950000</v>
      </c>
      <c r="D38" s="6">
        <v>1138943</v>
      </c>
      <c r="E38" s="6">
        <f t="shared" si="0"/>
        <v>188943</v>
      </c>
    </row>
    <row r="39" spans="1:5" x14ac:dyDescent="0.25">
      <c r="A39" s="4">
        <v>37</v>
      </c>
      <c r="B39" s="4" t="s">
        <v>26</v>
      </c>
      <c r="C39" s="6">
        <v>1650000</v>
      </c>
      <c r="D39" s="6">
        <v>1899999</v>
      </c>
      <c r="E39" s="6">
        <f t="shared" si="0"/>
        <v>249999</v>
      </c>
    </row>
    <row r="40" spans="1:5" x14ac:dyDescent="0.25">
      <c r="A40" s="4">
        <v>38</v>
      </c>
      <c r="B40" s="4" t="s">
        <v>24</v>
      </c>
      <c r="C40" s="6">
        <v>3650000</v>
      </c>
      <c r="D40" s="6">
        <v>3800000</v>
      </c>
      <c r="E40" s="6">
        <f t="shared" si="0"/>
        <v>150000</v>
      </c>
    </row>
    <row r="41" spans="1:5" x14ac:dyDescent="0.25">
      <c r="A41" s="4">
        <v>39</v>
      </c>
      <c r="B41" s="10" t="s">
        <v>65</v>
      </c>
      <c r="C41" s="6">
        <v>2717800</v>
      </c>
      <c r="D41" s="6">
        <v>3056800</v>
      </c>
      <c r="E41" s="6">
        <f t="shared" si="0"/>
        <v>339000</v>
      </c>
    </row>
    <row r="42" spans="1:5" x14ac:dyDescent="0.25">
      <c r="A42" s="89" t="s">
        <v>8</v>
      </c>
      <c r="B42" s="89"/>
      <c r="C42" s="89"/>
      <c r="D42" s="89"/>
      <c r="E42" s="8">
        <v>209948</v>
      </c>
    </row>
    <row r="43" spans="1:5" x14ac:dyDescent="0.25">
      <c r="A43" s="89" t="s">
        <v>9</v>
      </c>
      <c r="B43" s="89"/>
      <c r="C43" s="89"/>
      <c r="D43" s="89"/>
      <c r="E43" s="8">
        <f>SUM(E3:E41)-E42</f>
        <v>6716507</v>
      </c>
    </row>
    <row r="44" spans="1:5" x14ac:dyDescent="0.25">
      <c r="C44" s="6"/>
      <c r="D44" s="6"/>
      <c r="E44" s="6"/>
    </row>
    <row r="45" spans="1:5" x14ac:dyDescent="0.25">
      <c r="C45" s="6"/>
      <c r="D45" s="6"/>
      <c r="E45" s="6"/>
    </row>
    <row r="46" spans="1:5" x14ac:dyDescent="0.25">
      <c r="C46" s="6"/>
      <c r="D46" s="6"/>
      <c r="E46" s="6"/>
    </row>
    <row r="47" spans="1:5" x14ac:dyDescent="0.25">
      <c r="C47" s="6"/>
      <c r="D47" s="6"/>
      <c r="E47" s="6"/>
    </row>
    <row r="48" spans="1:5" x14ac:dyDescent="0.25">
      <c r="C48" s="6"/>
      <c r="D48" s="6"/>
      <c r="E48" s="6"/>
    </row>
    <row r="49" spans="2:5" x14ac:dyDescent="0.25">
      <c r="C49" s="6"/>
      <c r="D49" s="6"/>
      <c r="E49" s="6"/>
    </row>
    <row r="50" spans="2:5" x14ac:dyDescent="0.25">
      <c r="C50" s="6"/>
      <c r="D50" s="6"/>
      <c r="E50" s="6"/>
    </row>
    <row r="51" spans="2:5" x14ac:dyDescent="0.25">
      <c r="B51" s="89"/>
      <c r="C51" s="89"/>
      <c r="D51" s="89"/>
      <c r="E51" s="8"/>
    </row>
    <row r="52" spans="2:5" x14ac:dyDescent="0.25">
      <c r="B52" s="89"/>
      <c r="C52" s="89"/>
      <c r="D52" s="89"/>
      <c r="E52" s="8"/>
    </row>
    <row r="53" spans="2:5" x14ac:dyDescent="0.25">
      <c r="B53" s="10"/>
      <c r="C53" s="6"/>
      <c r="D53" s="6"/>
      <c r="E53" s="6"/>
    </row>
    <row r="54" spans="2:5" x14ac:dyDescent="0.25">
      <c r="B54" s="10"/>
      <c r="C54" s="6"/>
      <c r="D54" s="6"/>
      <c r="E54" s="6"/>
    </row>
    <row r="55" spans="2:5" x14ac:dyDescent="0.25">
      <c r="B55" s="10"/>
      <c r="C55" s="6"/>
      <c r="D55" s="6"/>
      <c r="E55" s="6"/>
    </row>
    <row r="56" spans="2:5" x14ac:dyDescent="0.25">
      <c r="B56" s="10"/>
      <c r="C56" s="6"/>
      <c r="D56" s="6"/>
      <c r="E56" s="6"/>
    </row>
    <row r="57" spans="2:5" x14ac:dyDescent="0.25">
      <c r="B57" s="12"/>
      <c r="C57" s="6"/>
      <c r="D57" s="6"/>
      <c r="E57" s="6"/>
    </row>
    <row r="58" spans="2:5" x14ac:dyDescent="0.25">
      <c r="B58" s="10"/>
      <c r="C58" s="6"/>
      <c r="D58" s="6"/>
      <c r="E58" s="6"/>
    </row>
    <row r="59" spans="2:5" x14ac:dyDescent="0.25">
      <c r="B59" s="10"/>
      <c r="C59" s="6"/>
      <c r="D59" s="6"/>
      <c r="E59" s="6"/>
    </row>
    <row r="60" spans="2:5" x14ac:dyDescent="0.25">
      <c r="B60" s="10"/>
      <c r="C60" s="6"/>
      <c r="D60" s="6"/>
      <c r="E60" s="6"/>
    </row>
    <row r="61" spans="2:5" x14ac:dyDescent="0.25">
      <c r="B61" s="10"/>
      <c r="C61" s="6"/>
      <c r="D61" s="6"/>
      <c r="E61" s="6"/>
    </row>
    <row r="62" spans="2:5" x14ac:dyDescent="0.25">
      <c r="B62" s="10"/>
      <c r="C62" s="6"/>
      <c r="D62" s="6"/>
      <c r="E62" s="6"/>
    </row>
    <row r="63" spans="2:5" x14ac:dyDescent="0.25">
      <c r="B63" s="10"/>
      <c r="C63" s="6"/>
      <c r="D63" s="6"/>
      <c r="E63" s="6"/>
    </row>
    <row r="64" spans="2:5" x14ac:dyDescent="0.25">
      <c r="B64" s="10"/>
      <c r="C64" s="6"/>
      <c r="D64" s="6"/>
      <c r="E64" s="6"/>
    </row>
    <row r="65" spans="2:5" x14ac:dyDescent="0.25">
      <c r="B65" s="10"/>
      <c r="C65" s="6"/>
      <c r="D65" s="6"/>
      <c r="E65" s="6"/>
    </row>
    <row r="66" spans="2:5" x14ac:dyDescent="0.25">
      <c r="B66" s="10"/>
      <c r="C66" s="6"/>
      <c r="D66" s="6"/>
      <c r="E66" s="6"/>
    </row>
    <row r="67" spans="2:5" x14ac:dyDescent="0.25">
      <c r="B67" s="10"/>
      <c r="C67" s="6"/>
      <c r="D67" s="6"/>
      <c r="E67" s="6"/>
    </row>
    <row r="68" spans="2:5" x14ac:dyDescent="0.25">
      <c r="B68" s="10"/>
      <c r="C68" s="6"/>
      <c r="D68" s="6"/>
      <c r="E68" s="6"/>
    </row>
    <row r="69" spans="2:5" x14ac:dyDescent="0.25">
      <c r="B69" s="10"/>
      <c r="C69" s="6"/>
      <c r="D69" s="6"/>
      <c r="E69" s="6"/>
    </row>
    <row r="70" spans="2:5" x14ac:dyDescent="0.25">
      <c r="B70" s="10"/>
      <c r="C70" s="6"/>
      <c r="D70" s="6"/>
      <c r="E70" s="6"/>
    </row>
    <row r="71" spans="2:5" x14ac:dyDescent="0.25">
      <c r="B71" s="10"/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B73" s="10"/>
      <c r="C73" s="6"/>
      <c r="D73" s="6"/>
      <c r="E73" s="6"/>
    </row>
    <row r="74" spans="2:5" x14ac:dyDescent="0.25">
      <c r="B74" s="10"/>
      <c r="C74" s="6"/>
      <c r="D74" s="6"/>
      <c r="E74" s="6"/>
    </row>
    <row r="75" spans="2:5" x14ac:dyDescent="0.25">
      <c r="B75" s="10"/>
      <c r="C75" s="6"/>
      <c r="D75" s="6"/>
      <c r="E75" s="6"/>
    </row>
    <row r="76" spans="2:5" x14ac:dyDescent="0.25">
      <c r="B76" s="10"/>
      <c r="C76" s="6"/>
      <c r="D76" s="6"/>
      <c r="E76" s="6"/>
    </row>
    <row r="77" spans="2:5" x14ac:dyDescent="0.25">
      <c r="B77" s="10"/>
      <c r="C77" s="6"/>
      <c r="D77" s="6"/>
      <c r="E77" s="6"/>
    </row>
    <row r="78" spans="2:5" x14ac:dyDescent="0.25">
      <c r="B78" s="10"/>
      <c r="C78" s="6"/>
      <c r="D78" s="6"/>
      <c r="E78" s="6"/>
    </row>
    <row r="79" spans="2:5" x14ac:dyDescent="0.25">
      <c r="B79" s="10"/>
      <c r="C79" s="6"/>
      <c r="D79" s="6"/>
      <c r="E79" s="6"/>
    </row>
    <row r="80" spans="2:5" x14ac:dyDescent="0.25">
      <c r="B80" s="10"/>
      <c r="C80" s="6"/>
      <c r="D80" s="6"/>
      <c r="E80" s="6"/>
    </row>
    <row r="81" spans="2:5" x14ac:dyDescent="0.25">
      <c r="B81" s="10"/>
      <c r="C81" s="6"/>
      <c r="D81" s="6"/>
      <c r="E81" s="6"/>
    </row>
    <row r="82" spans="2:5" x14ac:dyDescent="0.25">
      <c r="B82" s="10"/>
      <c r="C82" s="6"/>
      <c r="D82" s="6"/>
      <c r="E82" s="6"/>
    </row>
    <row r="83" spans="2:5" x14ac:dyDescent="0.25">
      <c r="B83" s="10"/>
      <c r="C83" s="6"/>
      <c r="D83" s="6"/>
      <c r="E83" s="6"/>
    </row>
    <row r="84" spans="2:5" x14ac:dyDescent="0.25">
      <c r="B84" s="10"/>
      <c r="C84" s="6"/>
      <c r="D84" s="6"/>
      <c r="E84" s="6"/>
    </row>
    <row r="85" spans="2:5" x14ac:dyDescent="0.25">
      <c r="B85" s="10"/>
      <c r="C85" s="6"/>
      <c r="D85" s="6"/>
      <c r="E85" s="6"/>
    </row>
    <row r="86" spans="2:5" x14ac:dyDescent="0.25">
      <c r="B86" s="10"/>
      <c r="C86" s="6"/>
      <c r="D86" s="6"/>
      <c r="E86" s="6"/>
    </row>
    <row r="87" spans="2:5" x14ac:dyDescent="0.25">
      <c r="B87" s="10"/>
      <c r="C87" s="6"/>
      <c r="D87" s="6"/>
      <c r="E87" s="6"/>
    </row>
    <row r="88" spans="2:5" x14ac:dyDescent="0.25">
      <c r="C88" s="6"/>
      <c r="D88" s="6"/>
      <c r="E88" s="6"/>
    </row>
    <row r="89" spans="2:5" x14ac:dyDescent="0.25">
      <c r="C89" s="6"/>
      <c r="D89" s="6"/>
      <c r="E89" s="6"/>
    </row>
    <row r="90" spans="2:5" x14ac:dyDescent="0.25">
      <c r="C90" s="6"/>
      <c r="D90" s="6"/>
      <c r="E90" s="6"/>
    </row>
    <row r="91" spans="2:5" x14ac:dyDescent="0.25">
      <c r="C91" s="6"/>
      <c r="D91" s="6"/>
      <c r="E91" s="6"/>
    </row>
    <row r="92" spans="2:5" x14ac:dyDescent="0.25">
      <c r="C92" s="6"/>
      <c r="D92" s="6"/>
      <c r="E92" s="6"/>
    </row>
    <row r="93" spans="2:5" x14ac:dyDescent="0.25">
      <c r="C93" s="6"/>
      <c r="D93" s="6"/>
      <c r="E93" s="6"/>
    </row>
    <row r="94" spans="2:5" x14ac:dyDescent="0.25">
      <c r="C94" s="6"/>
      <c r="D94" s="6"/>
      <c r="E94" s="6"/>
    </row>
    <row r="95" spans="2:5" x14ac:dyDescent="0.25">
      <c r="C95" s="6"/>
      <c r="D95" s="6"/>
      <c r="E95" s="6"/>
    </row>
    <row r="96" spans="2:5" x14ac:dyDescent="0.25">
      <c r="C96" s="6"/>
      <c r="D96" s="6"/>
      <c r="E96" s="6"/>
    </row>
    <row r="97" spans="2:5" x14ac:dyDescent="0.25">
      <c r="C97" s="6"/>
      <c r="D97" s="6"/>
      <c r="E97" s="6"/>
    </row>
    <row r="98" spans="2:5" x14ac:dyDescent="0.25">
      <c r="C98" s="6"/>
      <c r="D98" s="6"/>
      <c r="E98" s="6"/>
    </row>
    <row r="99" spans="2:5" x14ac:dyDescent="0.25">
      <c r="C99" s="6"/>
      <c r="D99" s="6"/>
      <c r="E99" s="6"/>
    </row>
    <row r="100" spans="2:5" x14ac:dyDescent="0.25">
      <c r="C100" s="6"/>
      <c r="D100" s="6"/>
      <c r="E100" s="6"/>
    </row>
    <row r="101" spans="2:5" x14ac:dyDescent="0.25">
      <c r="B101" s="10"/>
      <c r="C101" s="6"/>
      <c r="D101" s="6"/>
      <c r="E101" s="6"/>
    </row>
    <row r="102" spans="2:5" x14ac:dyDescent="0.25">
      <c r="B102" s="10"/>
      <c r="C102" s="6"/>
      <c r="D102" s="6"/>
      <c r="E102" s="6"/>
    </row>
    <row r="103" spans="2:5" x14ac:dyDescent="0.25">
      <c r="B103" s="10"/>
      <c r="C103" s="6"/>
      <c r="D103" s="6"/>
      <c r="E103" s="6"/>
    </row>
    <row r="104" spans="2:5" x14ac:dyDescent="0.25">
      <c r="B104" s="10"/>
      <c r="C104" s="6"/>
      <c r="D104" s="6"/>
      <c r="E104" s="6"/>
    </row>
    <row r="105" spans="2:5" x14ac:dyDescent="0.25">
      <c r="B105" s="10"/>
      <c r="C105" s="6"/>
      <c r="D105" s="6"/>
      <c r="E105" s="6"/>
    </row>
    <row r="106" spans="2:5" x14ac:dyDescent="0.25">
      <c r="B106" s="10"/>
      <c r="C106" s="6"/>
      <c r="D106" s="6"/>
      <c r="E106" s="6"/>
    </row>
    <row r="107" spans="2:5" x14ac:dyDescent="0.25">
      <c r="C107" s="6"/>
      <c r="D107" s="6"/>
      <c r="E107" s="6"/>
    </row>
    <row r="108" spans="2:5" x14ac:dyDescent="0.25">
      <c r="C108" s="6"/>
      <c r="D108" s="6"/>
      <c r="E108" s="6"/>
    </row>
    <row r="109" spans="2:5" x14ac:dyDescent="0.25">
      <c r="C109" s="6"/>
      <c r="D109" s="6"/>
      <c r="E109" s="6"/>
    </row>
    <row r="110" spans="2:5" x14ac:dyDescent="0.25">
      <c r="C110" s="6"/>
      <c r="D110" s="6"/>
      <c r="E110" s="6"/>
    </row>
    <row r="111" spans="2:5" x14ac:dyDescent="0.25">
      <c r="C111" s="6"/>
      <c r="D111" s="6"/>
      <c r="E111" s="6"/>
    </row>
    <row r="112" spans="2:5" x14ac:dyDescent="0.25">
      <c r="C112" s="6"/>
      <c r="D112" s="6"/>
      <c r="E112" s="6"/>
    </row>
    <row r="113" spans="3:5" x14ac:dyDescent="0.25">
      <c r="C113" s="6"/>
      <c r="D113" s="6"/>
      <c r="E113" s="6"/>
    </row>
    <row r="114" spans="3:5" x14ac:dyDescent="0.25">
      <c r="C114" s="6"/>
      <c r="D114" s="6"/>
      <c r="E114" s="6"/>
    </row>
    <row r="115" spans="3:5" x14ac:dyDescent="0.25">
      <c r="C115" s="6"/>
      <c r="D115" s="6"/>
      <c r="E115" s="6"/>
    </row>
    <row r="116" spans="3:5" x14ac:dyDescent="0.25">
      <c r="C116" s="6"/>
      <c r="D116" s="6"/>
      <c r="E116" s="6"/>
    </row>
    <row r="117" spans="3:5" x14ac:dyDescent="0.25">
      <c r="C117" s="6"/>
      <c r="D117" s="6"/>
      <c r="E117" s="6"/>
    </row>
    <row r="118" spans="3:5" x14ac:dyDescent="0.25">
      <c r="C118" s="6"/>
      <c r="D118" s="6"/>
      <c r="E118" s="6"/>
    </row>
    <row r="119" spans="3:5" x14ac:dyDescent="0.25">
      <c r="C119" s="6"/>
      <c r="D119" s="6"/>
      <c r="E119" s="6"/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43" xr:uid="{D674E63E-08D7-46CB-B398-6391E06805BD}"/>
  <mergeCells count="7">
    <mergeCell ref="A2:E2"/>
    <mergeCell ref="B51:D51"/>
    <mergeCell ref="B52:D52"/>
    <mergeCell ref="B162:D162"/>
    <mergeCell ref="B163:D163"/>
    <mergeCell ref="A43:D43"/>
    <mergeCell ref="A42:D42"/>
  </mergeCells>
  <conditionalFormatting sqref="E1">
    <cfRule type="cellIs" dxfId="10" priority="4" operator="lessThan">
      <formula>0</formula>
    </cfRule>
  </conditionalFormatting>
  <conditionalFormatting sqref="E3:E163">
    <cfRule type="cellIs" dxfId="9" priority="1" operator="lessThan">
      <formula>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27AB6-66B0-42CE-A25F-2A03BDB5FA44}">
  <dimension ref="A1:E163"/>
  <sheetViews>
    <sheetView zoomScale="145" zoomScaleNormal="145" workbookViewId="0">
      <pane ySplit="1" topLeftCell="A35" activePane="bottomLeft" state="frozen"/>
      <selection pane="bottomLeft" activeCell="C59" sqref="C59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46032</v>
      </c>
      <c r="B2" s="88"/>
      <c r="C2" s="88"/>
      <c r="D2" s="88"/>
      <c r="E2" s="88"/>
    </row>
    <row r="3" spans="1:5" x14ac:dyDescent="0.25">
      <c r="A3" s="4">
        <v>1</v>
      </c>
      <c r="B3" s="10" t="s">
        <v>16</v>
      </c>
      <c r="C3" s="6">
        <v>2700000</v>
      </c>
      <c r="D3" s="6">
        <v>2850000</v>
      </c>
      <c r="E3" s="6">
        <f t="shared" ref="E3:E50" si="0">D3-C3</f>
        <v>150000</v>
      </c>
    </row>
    <row r="4" spans="1:5" x14ac:dyDescent="0.25">
      <c r="A4" s="4">
        <v>2</v>
      </c>
      <c r="B4" s="4" t="s">
        <v>43</v>
      </c>
      <c r="C4" s="6">
        <v>1750000</v>
      </c>
      <c r="D4" s="6">
        <v>1985500</v>
      </c>
      <c r="E4" s="6">
        <f t="shared" si="0"/>
        <v>235500</v>
      </c>
    </row>
    <row r="5" spans="1:5" x14ac:dyDescent="0.25">
      <c r="A5" s="4">
        <v>3</v>
      </c>
      <c r="B5" s="4" t="s">
        <v>21</v>
      </c>
      <c r="C5" s="6">
        <v>935000</v>
      </c>
      <c r="D5" s="6">
        <v>949999</v>
      </c>
      <c r="E5" s="6">
        <f t="shared" si="0"/>
        <v>14999</v>
      </c>
    </row>
    <row r="6" spans="1:5" x14ac:dyDescent="0.25">
      <c r="A6" s="4">
        <v>4</v>
      </c>
      <c r="B6" s="4" t="s">
        <v>35</v>
      </c>
      <c r="C6" s="6">
        <v>1000000</v>
      </c>
      <c r="D6" s="6">
        <v>1083000</v>
      </c>
      <c r="E6" s="6">
        <f t="shared" si="0"/>
        <v>83000</v>
      </c>
    </row>
    <row r="7" spans="1:5" x14ac:dyDescent="0.25">
      <c r="A7" s="4">
        <v>5</v>
      </c>
      <c r="B7" s="4" t="s">
        <v>41</v>
      </c>
      <c r="C7" s="6">
        <v>1600000</v>
      </c>
      <c r="D7" s="6">
        <v>1881000</v>
      </c>
      <c r="E7" s="6">
        <f t="shared" si="0"/>
        <v>281000</v>
      </c>
    </row>
    <row r="8" spans="1:5" x14ac:dyDescent="0.25">
      <c r="A8" s="4">
        <v>6</v>
      </c>
      <c r="B8" s="4" t="s">
        <v>24</v>
      </c>
      <c r="C8" s="6">
        <v>3755551</v>
      </c>
      <c r="D8" s="6">
        <v>3800000</v>
      </c>
      <c r="E8" s="6">
        <f t="shared" si="0"/>
        <v>44449</v>
      </c>
    </row>
    <row r="9" spans="1:5" x14ac:dyDescent="0.25">
      <c r="A9" s="4">
        <v>7</v>
      </c>
      <c r="B9" s="4" t="s">
        <v>42</v>
      </c>
      <c r="C9" s="6">
        <v>159000</v>
      </c>
      <c r="D9" s="6">
        <v>361000</v>
      </c>
      <c r="E9" s="6">
        <f t="shared" si="0"/>
        <v>202000</v>
      </c>
    </row>
    <row r="10" spans="1:5" x14ac:dyDescent="0.25">
      <c r="A10" s="4">
        <v>8</v>
      </c>
      <c r="B10" s="4" t="s">
        <v>51</v>
      </c>
      <c r="C10" s="6">
        <v>1800000</v>
      </c>
      <c r="D10" s="6">
        <v>2185000</v>
      </c>
      <c r="E10" s="6">
        <f t="shared" si="0"/>
        <v>385000</v>
      </c>
    </row>
    <row r="11" spans="1:5" x14ac:dyDescent="0.25">
      <c r="A11" s="4">
        <v>9</v>
      </c>
      <c r="B11" s="4" t="s">
        <v>24</v>
      </c>
      <c r="C11" s="6">
        <v>3750000</v>
      </c>
      <c r="D11" s="6">
        <v>3800000</v>
      </c>
      <c r="E11" s="6">
        <f t="shared" si="0"/>
        <v>50000</v>
      </c>
    </row>
    <row r="12" spans="1:5" x14ac:dyDescent="0.25">
      <c r="A12" s="4">
        <v>10</v>
      </c>
      <c r="B12" s="4" t="s">
        <v>27</v>
      </c>
      <c r="C12" s="6">
        <v>5199999</v>
      </c>
      <c r="D12" s="6">
        <v>5509050</v>
      </c>
      <c r="E12" s="6">
        <f t="shared" si="0"/>
        <v>309051</v>
      </c>
    </row>
    <row r="13" spans="1:5" x14ac:dyDescent="0.25">
      <c r="A13" s="4">
        <v>11</v>
      </c>
      <c r="B13" s="4" t="s">
        <v>28</v>
      </c>
      <c r="C13" s="6">
        <v>1500000</v>
      </c>
      <c r="D13" s="6">
        <v>1539000</v>
      </c>
      <c r="E13" s="6">
        <f t="shared" si="0"/>
        <v>39000</v>
      </c>
    </row>
    <row r="14" spans="1:5" x14ac:dyDescent="0.25">
      <c r="A14" s="4">
        <v>12</v>
      </c>
      <c r="B14" s="4" t="s">
        <v>52</v>
      </c>
      <c r="C14" s="6">
        <v>100000</v>
      </c>
      <c r="D14" s="6">
        <v>118750</v>
      </c>
      <c r="E14" s="6">
        <f t="shared" si="0"/>
        <v>18750</v>
      </c>
    </row>
    <row r="15" spans="1:5" x14ac:dyDescent="0.25">
      <c r="A15" s="4">
        <v>13</v>
      </c>
      <c r="B15" s="4" t="s">
        <v>21</v>
      </c>
      <c r="C15" s="6">
        <v>910000</v>
      </c>
      <c r="D15" s="6">
        <v>988000</v>
      </c>
      <c r="E15" s="6">
        <f t="shared" si="0"/>
        <v>78000</v>
      </c>
    </row>
    <row r="16" spans="1:5" x14ac:dyDescent="0.25">
      <c r="A16" s="4">
        <v>14</v>
      </c>
      <c r="B16" s="4" t="s">
        <v>28</v>
      </c>
      <c r="C16" s="6">
        <v>1450000</v>
      </c>
      <c r="D16" s="6">
        <v>1539000</v>
      </c>
      <c r="E16" s="6">
        <f t="shared" si="0"/>
        <v>89000</v>
      </c>
    </row>
    <row r="17" spans="1:5" x14ac:dyDescent="0.25">
      <c r="A17" s="4">
        <v>15</v>
      </c>
      <c r="B17" s="4" t="s">
        <v>7</v>
      </c>
      <c r="C17" s="6">
        <v>12959990</v>
      </c>
      <c r="D17" s="6">
        <v>13062500</v>
      </c>
      <c r="E17" s="6">
        <f t="shared" si="0"/>
        <v>102510</v>
      </c>
    </row>
    <row r="18" spans="1:5" x14ac:dyDescent="0.25">
      <c r="A18" s="4">
        <v>16</v>
      </c>
      <c r="B18" s="4" t="s">
        <v>21</v>
      </c>
      <c r="C18" s="6">
        <v>932000</v>
      </c>
      <c r="D18" s="6">
        <v>988000</v>
      </c>
      <c r="E18" s="6">
        <f t="shared" si="0"/>
        <v>56000</v>
      </c>
    </row>
    <row r="19" spans="1:5" x14ac:dyDescent="0.25">
      <c r="A19" s="4">
        <v>17</v>
      </c>
      <c r="B19" s="4" t="s">
        <v>53</v>
      </c>
      <c r="C19" s="6">
        <v>400000</v>
      </c>
      <c r="D19" s="6">
        <v>570000</v>
      </c>
      <c r="E19" s="6">
        <f t="shared" si="0"/>
        <v>170000</v>
      </c>
    </row>
    <row r="20" spans="1:5" x14ac:dyDescent="0.25">
      <c r="A20" s="4">
        <v>18</v>
      </c>
      <c r="B20" s="4" t="s">
        <v>21</v>
      </c>
      <c r="C20" s="6">
        <v>900000</v>
      </c>
      <c r="D20" s="6">
        <v>950000</v>
      </c>
      <c r="E20" s="6">
        <f t="shared" si="0"/>
        <v>50000</v>
      </c>
    </row>
    <row r="21" spans="1:5" x14ac:dyDescent="0.25">
      <c r="A21" s="4">
        <v>19</v>
      </c>
      <c r="B21" s="4" t="s">
        <v>19</v>
      </c>
      <c r="C21" s="6">
        <v>750000</v>
      </c>
      <c r="D21" s="6">
        <v>950000</v>
      </c>
      <c r="E21" s="6">
        <f t="shared" si="0"/>
        <v>200000</v>
      </c>
    </row>
    <row r="22" spans="1:5" x14ac:dyDescent="0.25">
      <c r="A22" s="4">
        <v>20</v>
      </c>
      <c r="B22" s="4" t="s">
        <v>54</v>
      </c>
      <c r="C22" s="6">
        <v>6800000</v>
      </c>
      <c r="D22" s="6">
        <v>6696500</v>
      </c>
      <c r="E22" s="6">
        <f t="shared" si="0"/>
        <v>-103500</v>
      </c>
    </row>
    <row r="23" spans="1:5" x14ac:dyDescent="0.25">
      <c r="A23" s="4">
        <v>21</v>
      </c>
      <c r="B23" s="4" t="s">
        <v>54</v>
      </c>
      <c r="C23" s="6">
        <v>6500000</v>
      </c>
      <c r="D23" s="6">
        <v>6649998</v>
      </c>
      <c r="E23" s="6">
        <f t="shared" si="0"/>
        <v>149998</v>
      </c>
    </row>
    <row r="24" spans="1:5" x14ac:dyDescent="0.25">
      <c r="A24" s="4">
        <v>22</v>
      </c>
      <c r="B24" s="4" t="s">
        <v>51</v>
      </c>
      <c r="C24" s="6">
        <v>1800001</v>
      </c>
      <c r="D24" s="6">
        <v>2090000</v>
      </c>
      <c r="E24" s="6">
        <f t="shared" si="0"/>
        <v>289999</v>
      </c>
    </row>
    <row r="25" spans="1:5" x14ac:dyDescent="0.25">
      <c r="A25" s="4">
        <v>23</v>
      </c>
      <c r="B25" s="4" t="s">
        <v>26</v>
      </c>
      <c r="C25" s="6">
        <v>1666666</v>
      </c>
      <c r="D25" s="6">
        <v>1900000</v>
      </c>
      <c r="E25" s="6">
        <f t="shared" si="0"/>
        <v>233334</v>
      </c>
    </row>
    <row r="26" spans="1:5" x14ac:dyDescent="0.25">
      <c r="A26" s="4">
        <v>24</v>
      </c>
      <c r="B26" s="4" t="s">
        <v>28</v>
      </c>
      <c r="C26" s="6">
        <v>1300000</v>
      </c>
      <c r="D26" s="6">
        <v>1539000</v>
      </c>
      <c r="E26" s="6">
        <f t="shared" si="0"/>
        <v>239000</v>
      </c>
    </row>
    <row r="27" spans="1:5" x14ac:dyDescent="0.25">
      <c r="A27" s="4">
        <v>25</v>
      </c>
      <c r="B27" s="4" t="s">
        <v>29</v>
      </c>
      <c r="C27" s="6">
        <v>590000</v>
      </c>
      <c r="D27" s="6">
        <v>712500</v>
      </c>
      <c r="E27" s="6">
        <f t="shared" si="0"/>
        <v>122500</v>
      </c>
    </row>
    <row r="28" spans="1:5" x14ac:dyDescent="0.25">
      <c r="A28" s="4">
        <v>26</v>
      </c>
      <c r="B28" s="4" t="s">
        <v>16</v>
      </c>
      <c r="C28" s="6">
        <v>2400000</v>
      </c>
      <c r="D28" s="6">
        <v>2849999</v>
      </c>
      <c r="E28" s="6">
        <f t="shared" si="0"/>
        <v>449999</v>
      </c>
    </row>
    <row r="29" spans="1:5" x14ac:dyDescent="0.25">
      <c r="A29" s="4">
        <v>27</v>
      </c>
      <c r="B29" s="4" t="s">
        <v>23</v>
      </c>
      <c r="C29" s="6">
        <v>3700000</v>
      </c>
      <c r="D29" s="6">
        <v>3885500</v>
      </c>
      <c r="E29" s="6">
        <f t="shared" si="0"/>
        <v>185500</v>
      </c>
    </row>
    <row r="30" spans="1:5" x14ac:dyDescent="0.25">
      <c r="A30" s="4">
        <v>28</v>
      </c>
      <c r="B30" s="4" t="s">
        <v>33</v>
      </c>
      <c r="C30" s="6">
        <v>3200000</v>
      </c>
      <c r="D30" s="6">
        <v>3401000</v>
      </c>
      <c r="E30" s="6">
        <f t="shared" si="0"/>
        <v>201000</v>
      </c>
    </row>
    <row r="31" spans="1:5" x14ac:dyDescent="0.25">
      <c r="A31" s="4">
        <v>29</v>
      </c>
      <c r="B31" s="4" t="s">
        <v>26</v>
      </c>
      <c r="C31" s="6">
        <v>1700000</v>
      </c>
      <c r="D31" s="6">
        <v>1748000</v>
      </c>
      <c r="E31" s="6">
        <f t="shared" si="0"/>
        <v>48000</v>
      </c>
    </row>
    <row r="32" spans="1:5" x14ac:dyDescent="0.25">
      <c r="A32" s="4">
        <v>30</v>
      </c>
      <c r="B32" s="4" t="s">
        <v>55</v>
      </c>
      <c r="C32" s="6">
        <v>1099999</v>
      </c>
      <c r="D32" s="6">
        <v>1903825</v>
      </c>
      <c r="E32" s="6">
        <f t="shared" si="0"/>
        <v>803826</v>
      </c>
    </row>
    <row r="33" spans="1:5" x14ac:dyDescent="0.25">
      <c r="A33" s="4">
        <v>31</v>
      </c>
      <c r="B33" s="4" t="s">
        <v>54</v>
      </c>
      <c r="C33" s="6">
        <v>6700000</v>
      </c>
      <c r="D33" s="6">
        <v>6696550</v>
      </c>
      <c r="E33" s="6">
        <f t="shared" si="0"/>
        <v>-3450</v>
      </c>
    </row>
    <row r="34" spans="1:5" x14ac:dyDescent="0.25">
      <c r="A34" s="4">
        <v>32</v>
      </c>
      <c r="B34" s="4" t="s">
        <v>16</v>
      </c>
      <c r="C34" s="6">
        <v>2690000</v>
      </c>
      <c r="D34" s="6">
        <v>2945000</v>
      </c>
      <c r="E34" s="6">
        <f t="shared" si="0"/>
        <v>255000</v>
      </c>
    </row>
    <row r="35" spans="1:5" x14ac:dyDescent="0.25">
      <c r="A35" s="4">
        <v>33</v>
      </c>
      <c r="B35" s="4" t="s">
        <v>43</v>
      </c>
      <c r="C35" s="6">
        <v>1800000</v>
      </c>
      <c r="D35" s="6">
        <v>2280000</v>
      </c>
      <c r="E35" s="6">
        <f t="shared" si="0"/>
        <v>480000</v>
      </c>
    </row>
    <row r="36" spans="1:5" x14ac:dyDescent="0.25">
      <c r="A36" s="4">
        <v>34</v>
      </c>
      <c r="B36" s="4" t="s">
        <v>26</v>
      </c>
      <c r="C36" s="6">
        <v>1600000</v>
      </c>
      <c r="D36" s="6">
        <v>1899999</v>
      </c>
      <c r="E36" s="6">
        <f t="shared" si="0"/>
        <v>299999</v>
      </c>
    </row>
    <row r="37" spans="1:5" x14ac:dyDescent="0.25">
      <c r="A37" s="4">
        <v>35</v>
      </c>
      <c r="B37" s="4" t="s">
        <v>29</v>
      </c>
      <c r="C37" s="6">
        <v>511111</v>
      </c>
      <c r="D37" s="6">
        <v>665000</v>
      </c>
      <c r="E37" s="6">
        <f t="shared" si="0"/>
        <v>153889</v>
      </c>
    </row>
    <row r="38" spans="1:5" x14ac:dyDescent="0.25">
      <c r="A38" s="4">
        <v>36</v>
      </c>
      <c r="B38" s="4" t="s">
        <v>56</v>
      </c>
      <c r="C38" s="6">
        <v>950000</v>
      </c>
      <c r="D38" s="6">
        <v>950000</v>
      </c>
      <c r="E38" s="6">
        <f t="shared" si="0"/>
        <v>0</v>
      </c>
    </row>
    <row r="39" spans="1:5" x14ac:dyDescent="0.25">
      <c r="A39" s="4">
        <v>37</v>
      </c>
      <c r="B39" s="4" t="s">
        <v>16</v>
      </c>
      <c r="C39" s="6">
        <v>2699999</v>
      </c>
      <c r="D39" s="6">
        <v>2802500</v>
      </c>
      <c r="E39" s="6">
        <f t="shared" si="0"/>
        <v>102501</v>
      </c>
    </row>
    <row r="40" spans="1:5" x14ac:dyDescent="0.25">
      <c r="A40" s="4">
        <v>38</v>
      </c>
      <c r="B40" s="4" t="s">
        <v>26</v>
      </c>
      <c r="C40" s="6">
        <v>1700000</v>
      </c>
      <c r="D40" s="6">
        <v>1852500</v>
      </c>
      <c r="E40" s="6">
        <f t="shared" si="0"/>
        <v>152500</v>
      </c>
    </row>
    <row r="41" spans="1:5" x14ac:dyDescent="0.25">
      <c r="A41" s="4">
        <v>39</v>
      </c>
      <c r="B41" s="4" t="s">
        <v>26</v>
      </c>
      <c r="C41" s="6">
        <v>1700000</v>
      </c>
      <c r="D41" s="6">
        <v>1852500</v>
      </c>
      <c r="E41" s="6">
        <f t="shared" si="0"/>
        <v>152500</v>
      </c>
    </row>
    <row r="42" spans="1:5" x14ac:dyDescent="0.25">
      <c r="A42" s="4">
        <v>40</v>
      </c>
      <c r="B42" s="4" t="s">
        <v>33</v>
      </c>
      <c r="C42" s="6">
        <v>3150000</v>
      </c>
      <c r="D42" s="6">
        <v>2850002</v>
      </c>
      <c r="E42" s="6">
        <f t="shared" si="0"/>
        <v>-299998</v>
      </c>
    </row>
    <row r="43" spans="1:5" x14ac:dyDescent="0.25">
      <c r="A43" s="4">
        <v>41</v>
      </c>
      <c r="B43" s="4" t="s">
        <v>33</v>
      </c>
      <c r="C43" s="6">
        <v>3200000</v>
      </c>
      <c r="D43" s="6">
        <v>2850002</v>
      </c>
      <c r="E43" s="6">
        <f t="shared" si="0"/>
        <v>-349998</v>
      </c>
    </row>
    <row r="44" spans="1:5" x14ac:dyDescent="0.25">
      <c r="A44" s="4">
        <v>42</v>
      </c>
      <c r="B44" s="4" t="s">
        <v>30</v>
      </c>
      <c r="C44" s="6">
        <v>1100000</v>
      </c>
      <c r="D44" s="6">
        <v>1330000</v>
      </c>
      <c r="E44" s="6">
        <f t="shared" si="0"/>
        <v>230000</v>
      </c>
    </row>
    <row r="45" spans="1:5" x14ac:dyDescent="0.25">
      <c r="A45" s="4">
        <v>43</v>
      </c>
      <c r="B45" s="4" t="s">
        <v>30</v>
      </c>
      <c r="C45" s="6">
        <v>1100000</v>
      </c>
      <c r="D45" s="6">
        <v>1330000</v>
      </c>
      <c r="E45" s="6">
        <f t="shared" si="0"/>
        <v>230000</v>
      </c>
    </row>
    <row r="46" spans="1:5" x14ac:dyDescent="0.25">
      <c r="A46" s="4">
        <v>44</v>
      </c>
      <c r="B46" s="4" t="s">
        <v>57</v>
      </c>
      <c r="C46" s="6">
        <v>7599999</v>
      </c>
      <c r="D46" s="6">
        <v>7562000</v>
      </c>
      <c r="E46" s="6">
        <f t="shared" si="0"/>
        <v>-37999</v>
      </c>
    </row>
    <row r="47" spans="1:5" x14ac:dyDescent="0.25">
      <c r="A47" s="4">
        <v>45</v>
      </c>
      <c r="B47" s="4" t="s">
        <v>26</v>
      </c>
      <c r="C47" s="6">
        <v>1666666</v>
      </c>
      <c r="D47" s="6">
        <v>1783888</v>
      </c>
      <c r="E47" s="6">
        <f t="shared" si="0"/>
        <v>117222</v>
      </c>
    </row>
    <row r="48" spans="1:5" x14ac:dyDescent="0.25">
      <c r="A48" s="4">
        <v>46</v>
      </c>
      <c r="B48" s="4" t="s">
        <v>20</v>
      </c>
      <c r="C48" s="6">
        <v>500000</v>
      </c>
      <c r="D48" s="6">
        <v>664999</v>
      </c>
      <c r="E48" s="6">
        <f t="shared" si="0"/>
        <v>164999</v>
      </c>
    </row>
    <row r="49" spans="1:5" x14ac:dyDescent="0.25">
      <c r="A49" s="4">
        <v>47</v>
      </c>
      <c r="B49" s="4" t="s">
        <v>26</v>
      </c>
      <c r="C49" s="6">
        <v>1200000</v>
      </c>
      <c r="D49" s="6">
        <v>1710000</v>
      </c>
      <c r="E49" s="6">
        <f t="shared" si="0"/>
        <v>510000</v>
      </c>
    </row>
    <row r="50" spans="1:5" x14ac:dyDescent="0.25">
      <c r="A50" s="4">
        <v>48</v>
      </c>
      <c r="B50" s="4" t="s">
        <v>23</v>
      </c>
      <c r="C50" s="6">
        <v>3500000</v>
      </c>
      <c r="D50" s="6">
        <v>3790500</v>
      </c>
      <c r="E50" s="6">
        <f t="shared" si="0"/>
        <v>290500</v>
      </c>
    </row>
    <row r="51" spans="1:5" x14ac:dyDescent="0.25">
      <c r="A51" s="89" t="s">
        <v>8</v>
      </c>
      <c r="B51" s="89"/>
      <c r="C51" s="89"/>
      <c r="D51" s="89"/>
      <c r="E51" s="8">
        <v>0</v>
      </c>
    </row>
    <row r="52" spans="1:5" x14ac:dyDescent="0.25">
      <c r="A52" s="89" t="s">
        <v>9</v>
      </c>
      <c r="B52" s="89"/>
      <c r="C52" s="89"/>
      <c r="D52" s="89"/>
      <c r="E52" s="8">
        <f>SUM(E3:E50)-E51</f>
        <v>7625580</v>
      </c>
    </row>
    <row r="53" spans="1:5" x14ac:dyDescent="0.25">
      <c r="B53" s="10"/>
      <c r="C53" s="6"/>
      <c r="D53" s="6"/>
      <c r="E53" s="6"/>
    </row>
    <row r="54" spans="1:5" x14ac:dyDescent="0.25">
      <c r="B54" s="10"/>
      <c r="C54" s="6"/>
      <c r="D54" s="6"/>
      <c r="E54" s="6"/>
    </row>
    <row r="55" spans="1:5" x14ac:dyDescent="0.25">
      <c r="B55" s="10"/>
      <c r="C55" s="6"/>
      <c r="D55" s="6"/>
      <c r="E55" s="6"/>
    </row>
    <row r="56" spans="1:5" x14ac:dyDescent="0.25">
      <c r="B56" s="10"/>
      <c r="C56" s="6"/>
      <c r="D56" s="6"/>
      <c r="E56" s="6"/>
    </row>
    <row r="57" spans="1:5" x14ac:dyDescent="0.25">
      <c r="B57" s="12"/>
      <c r="C57" s="6"/>
      <c r="D57" s="6"/>
      <c r="E57" s="6"/>
    </row>
    <row r="58" spans="1:5" x14ac:dyDescent="0.25">
      <c r="B58" s="10"/>
      <c r="C58" s="6"/>
      <c r="D58" s="6"/>
      <c r="E58" s="6"/>
    </row>
    <row r="59" spans="1:5" x14ac:dyDescent="0.25">
      <c r="B59" s="10"/>
      <c r="C59" s="6"/>
      <c r="D59" s="6"/>
      <c r="E59" s="6"/>
    </row>
    <row r="60" spans="1:5" x14ac:dyDescent="0.25">
      <c r="B60" s="10"/>
      <c r="C60" s="6"/>
      <c r="D60" s="6"/>
      <c r="E60" s="6"/>
    </row>
    <row r="61" spans="1:5" x14ac:dyDescent="0.25">
      <c r="B61" s="10"/>
      <c r="C61" s="6"/>
      <c r="D61" s="6"/>
      <c r="E61" s="6"/>
    </row>
    <row r="62" spans="1:5" x14ac:dyDescent="0.25">
      <c r="B62" s="10"/>
      <c r="C62" s="6"/>
      <c r="D62" s="6"/>
      <c r="E62" s="6"/>
    </row>
    <row r="63" spans="1:5" x14ac:dyDescent="0.25">
      <c r="B63" s="10"/>
      <c r="C63" s="6"/>
      <c r="D63" s="6"/>
      <c r="E63" s="6"/>
    </row>
    <row r="64" spans="1:5" x14ac:dyDescent="0.25">
      <c r="B64" s="10"/>
      <c r="C64" s="6"/>
      <c r="D64" s="6"/>
      <c r="E64" s="6"/>
    </row>
    <row r="65" spans="2:5" x14ac:dyDescent="0.25">
      <c r="B65" s="10"/>
      <c r="C65" s="6"/>
      <c r="D65" s="6"/>
      <c r="E65" s="6"/>
    </row>
    <row r="66" spans="2:5" x14ac:dyDescent="0.25">
      <c r="B66" s="10"/>
      <c r="C66" s="6"/>
      <c r="D66" s="6"/>
      <c r="E66" s="6"/>
    </row>
    <row r="67" spans="2:5" x14ac:dyDescent="0.25">
      <c r="B67" s="10"/>
      <c r="C67" s="6"/>
      <c r="D67" s="6"/>
      <c r="E67" s="6"/>
    </row>
    <row r="68" spans="2:5" x14ac:dyDescent="0.25">
      <c r="B68" s="10"/>
      <c r="C68" s="6"/>
      <c r="D68" s="6"/>
      <c r="E68" s="6"/>
    </row>
    <row r="69" spans="2:5" x14ac:dyDescent="0.25">
      <c r="B69" s="10"/>
      <c r="C69" s="6"/>
      <c r="D69" s="6"/>
      <c r="E69" s="6"/>
    </row>
    <row r="70" spans="2:5" x14ac:dyDescent="0.25">
      <c r="B70" s="10"/>
      <c r="C70" s="6"/>
      <c r="D70" s="6"/>
      <c r="E70" s="6"/>
    </row>
    <row r="71" spans="2:5" x14ac:dyDescent="0.25">
      <c r="B71" s="10"/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B73" s="10"/>
      <c r="C73" s="6"/>
      <c r="D73" s="6"/>
      <c r="E73" s="6"/>
    </row>
    <row r="74" spans="2:5" x14ac:dyDescent="0.25">
      <c r="B74" s="10"/>
      <c r="C74" s="6"/>
      <c r="D74" s="6"/>
      <c r="E74" s="6"/>
    </row>
    <row r="75" spans="2:5" x14ac:dyDescent="0.25">
      <c r="B75" s="10"/>
      <c r="C75" s="6"/>
      <c r="D75" s="6"/>
      <c r="E75" s="6"/>
    </row>
    <row r="76" spans="2:5" x14ac:dyDescent="0.25">
      <c r="B76" s="10"/>
      <c r="C76" s="6"/>
      <c r="D76" s="6"/>
      <c r="E76" s="6"/>
    </row>
    <row r="77" spans="2:5" x14ac:dyDescent="0.25">
      <c r="B77" s="10"/>
      <c r="C77" s="6"/>
      <c r="D77" s="6"/>
      <c r="E77" s="6"/>
    </row>
    <row r="78" spans="2:5" x14ac:dyDescent="0.25">
      <c r="B78" s="10"/>
      <c r="C78" s="6"/>
      <c r="D78" s="6"/>
      <c r="E78" s="6"/>
    </row>
    <row r="79" spans="2:5" x14ac:dyDescent="0.25">
      <c r="B79" s="10"/>
      <c r="C79" s="6"/>
      <c r="D79" s="6"/>
      <c r="E79" s="6"/>
    </row>
    <row r="80" spans="2:5" x14ac:dyDescent="0.25">
      <c r="B80" s="10"/>
      <c r="C80" s="6"/>
      <c r="D80" s="6"/>
      <c r="E80" s="6"/>
    </row>
    <row r="81" spans="2:5" x14ac:dyDescent="0.25">
      <c r="B81" s="10"/>
      <c r="C81" s="6"/>
      <c r="D81" s="6"/>
      <c r="E81" s="6"/>
    </row>
    <row r="82" spans="2:5" x14ac:dyDescent="0.25">
      <c r="B82" s="10"/>
      <c r="C82" s="6"/>
      <c r="D82" s="6"/>
      <c r="E82" s="6"/>
    </row>
    <row r="83" spans="2:5" x14ac:dyDescent="0.25">
      <c r="B83" s="10"/>
      <c r="C83" s="6"/>
      <c r="D83" s="6"/>
      <c r="E83" s="6"/>
    </row>
    <row r="84" spans="2:5" x14ac:dyDescent="0.25">
      <c r="B84" s="10"/>
      <c r="C84" s="6"/>
      <c r="D84" s="6"/>
      <c r="E84" s="6"/>
    </row>
    <row r="85" spans="2:5" x14ac:dyDescent="0.25">
      <c r="B85" s="10"/>
      <c r="C85" s="6"/>
      <c r="D85" s="6"/>
      <c r="E85" s="6"/>
    </row>
    <row r="86" spans="2:5" x14ac:dyDescent="0.25">
      <c r="B86" s="10"/>
      <c r="C86" s="6"/>
      <c r="D86" s="6"/>
      <c r="E86" s="6"/>
    </row>
    <row r="87" spans="2:5" x14ac:dyDescent="0.25">
      <c r="B87" s="10"/>
      <c r="C87" s="6"/>
      <c r="D87" s="6"/>
      <c r="E87" s="6"/>
    </row>
    <row r="88" spans="2:5" x14ac:dyDescent="0.25">
      <c r="C88" s="6"/>
      <c r="D88" s="6"/>
      <c r="E88" s="6"/>
    </row>
    <row r="89" spans="2:5" x14ac:dyDescent="0.25">
      <c r="C89" s="6"/>
      <c r="D89" s="6"/>
      <c r="E89" s="6"/>
    </row>
    <row r="90" spans="2:5" x14ac:dyDescent="0.25">
      <c r="C90" s="6"/>
      <c r="D90" s="6"/>
      <c r="E90" s="6"/>
    </row>
    <row r="91" spans="2:5" x14ac:dyDescent="0.25">
      <c r="C91" s="6"/>
      <c r="D91" s="6"/>
      <c r="E91" s="6"/>
    </row>
    <row r="92" spans="2:5" x14ac:dyDescent="0.25">
      <c r="C92" s="6"/>
      <c r="D92" s="6"/>
      <c r="E92" s="6"/>
    </row>
    <row r="93" spans="2:5" x14ac:dyDescent="0.25">
      <c r="C93" s="6"/>
      <c r="D93" s="6"/>
      <c r="E93" s="6"/>
    </row>
    <row r="94" spans="2:5" x14ac:dyDescent="0.25">
      <c r="C94" s="6"/>
      <c r="D94" s="6"/>
      <c r="E94" s="6"/>
    </row>
    <row r="95" spans="2:5" x14ac:dyDescent="0.25">
      <c r="C95" s="6"/>
      <c r="D95" s="6"/>
      <c r="E95" s="6"/>
    </row>
    <row r="96" spans="2:5" x14ac:dyDescent="0.25">
      <c r="C96" s="6"/>
      <c r="D96" s="6"/>
      <c r="E96" s="6"/>
    </row>
    <row r="97" spans="2:5" x14ac:dyDescent="0.25">
      <c r="C97" s="6"/>
      <c r="D97" s="6"/>
      <c r="E97" s="6"/>
    </row>
    <row r="98" spans="2:5" x14ac:dyDescent="0.25">
      <c r="C98" s="6"/>
      <c r="D98" s="6"/>
      <c r="E98" s="6"/>
    </row>
    <row r="99" spans="2:5" x14ac:dyDescent="0.25">
      <c r="C99" s="6"/>
      <c r="D99" s="6"/>
      <c r="E99" s="6"/>
    </row>
    <row r="100" spans="2:5" x14ac:dyDescent="0.25">
      <c r="C100" s="6"/>
      <c r="D100" s="6"/>
      <c r="E100" s="6"/>
    </row>
    <row r="101" spans="2:5" x14ac:dyDescent="0.25">
      <c r="B101" s="10"/>
      <c r="C101" s="6"/>
      <c r="D101" s="6"/>
      <c r="E101" s="6"/>
    </row>
    <row r="102" spans="2:5" x14ac:dyDescent="0.25">
      <c r="B102" s="10"/>
      <c r="C102" s="6"/>
      <c r="D102" s="6"/>
      <c r="E102" s="6"/>
    </row>
    <row r="103" spans="2:5" x14ac:dyDescent="0.25">
      <c r="B103" s="10"/>
      <c r="C103" s="6"/>
      <c r="D103" s="6"/>
      <c r="E103" s="6"/>
    </row>
    <row r="104" spans="2:5" x14ac:dyDescent="0.25">
      <c r="B104" s="10"/>
      <c r="C104" s="6"/>
      <c r="D104" s="6"/>
      <c r="E104" s="6"/>
    </row>
    <row r="105" spans="2:5" x14ac:dyDescent="0.25">
      <c r="B105" s="10"/>
      <c r="C105" s="6"/>
      <c r="D105" s="6"/>
      <c r="E105" s="6"/>
    </row>
    <row r="106" spans="2:5" x14ac:dyDescent="0.25">
      <c r="B106" s="10"/>
      <c r="C106" s="6"/>
      <c r="D106" s="6"/>
      <c r="E106" s="6"/>
    </row>
    <row r="107" spans="2:5" x14ac:dyDescent="0.25">
      <c r="C107" s="6"/>
      <c r="D107" s="6"/>
      <c r="E107" s="6"/>
    </row>
    <row r="108" spans="2:5" x14ac:dyDescent="0.25">
      <c r="C108" s="6"/>
      <c r="D108" s="6"/>
      <c r="E108" s="6"/>
    </row>
    <row r="109" spans="2:5" x14ac:dyDescent="0.25">
      <c r="C109" s="6"/>
      <c r="D109" s="6"/>
      <c r="E109" s="6"/>
    </row>
    <row r="110" spans="2:5" x14ac:dyDescent="0.25">
      <c r="C110" s="6"/>
      <c r="D110" s="6"/>
      <c r="E110" s="6"/>
    </row>
    <row r="111" spans="2:5" x14ac:dyDescent="0.25">
      <c r="C111" s="6"/>
      <c r="D111" s="6"/>
      <c r="E111" s="6"/>
    </row>
    <row r="112" spans="2:5" x14ac:dyDescent="0.25">
      <c r="C112" s="6"/>
      <c r="D112" s="6"/>
      <c r="E112" s="6"/>
    </row>
    <row r="113" spans="3:5" x14ac:dyDescent="0.25">
      <c r="C113" s="6"/>
      <c r="D113" s="6"/>
      <c r="E113" s="6"/>
    </row>
    <row r="114" spans="3:5" x14ac:dyDescent="0.25">
      <c r="C114" s="6"/>
      <c r="D114" s="6"/>
      <c r="E114" s="6"/>
    </row>
    <row r="115" spans="3:5" x14ac:dyDescent="0.25">
      <c r="C115" s="6"/>
      <c r="D115" s="6"/>
      <c r="E115" s="6"/>
    </row>
    <row r="116" spans="3:5" x14ac:dyDescent="0.25">
      <c r="C116" s="6"/>
      <c r="D116" s="6"/>
      <c r="E116" s="6"/>
    </row>
    <row r="117" spans="3:5" x14ac:dyDescent="0.25">
      <c r="C117" s="6"/>
      <c r="D117" s="6"/>
      <c r="E117" s="6"/>
    </row>
    <row r="118" spans="3:5" x14ac:dyDescent="0.25">
      <c r="C118" s="6"/>
      <c r="D118" s="6"/>
      <c r="E118" s="6"/>
    </row>
    <row r="119" spans="3:5" x14ac:dyDescent="0.25">
      <c r="C119" s="6"/>
      <c r="D119" s="6"/>
      <c r="E119" s="6"/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52" xr:uid="{58827AB6-66B0-42CE-A25F-2A03BDB5FA44}"/>
  <mergeCells count="5">
    <mergeCell ref="A2:E2"/>
    <mergeCell ref="B162:D162"/>
    <mergeCell ref="B163:D163"/>
    <mergeCell ref="A52:D52"/>
    <mergeCell ref="A51:D51"/>
  </mergeCells>
  <conditionalFormatting sqref="E1">
    <cfRule type="cellIs" dxfId="8" priority="4" operator="lessThan">
      <formula>0</formula>
    </cfRule>
  </conditionalFormatting>
  <conditionalFormatting sqref="E3:E163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364E-B86A-40D4-9A47-EC0D61090B85}">
  <dimension ref="A1:E163"/>
  <sheetViews>
    <sheetView zoomScale="145" zoomScaleNormal="145" workbookViewId="0">
      <pane ySplit="1" topLeftCell="A26" activePane="bottomLeft" state="frozen"/>
      <selection pane="bottomLeft" activeCell="D36" sqref="D36"/>
    </sheetView>
  </sheetViews>
  <sheetFormatPr defaultRowHeight="15" x14ac:dyDescent="0.25"/>
  <cols>
    <col min="1" max="1" width="4.2851562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46031</v>
      </c>
      <c r="B2" s="87"/>
      <c r="C2" s="87"/>
      <c r="D2" s="87"/>
      <c r="E2" s="87"/>
    </row>
    <row r="3" spans="1:5" x14ac:dyDescent="0.25">
      <c r="A3" s="4">
        <v>1</v>
      </c>
      <c r="B3" s="4" t="s">
        <v>39</v>
      </c>
      <c r="C3" s="6">
        <v>1600000</v>
      </c>
      <c r="D3" s="6">
        <v>1852500</v>
      </c>
      <c r="E3" s="6">
        <f t="shared" ref="E3:E38" si="0">D3-C3</f>
        <v>252500</v>
      </c>
    </row>
    <row r="4" spans="1:5" x14ac:dyDescent="0.25">
      <c r="A4" s="4">
        <v>2</v>
      </c>
      <c r="B4" s="4" t="s">
        <v>40</v>
      </c>
      <c r="C4" s="6">
        <v>580000</v>
      </c>
      <c r="D4" s="6">
        <v>863075</v>
      </c>
      <c r="E4" s="6">
        <f t="shared" si="0"/>
        <v>283075</v>
      </c>
    </row>
    <row r="5" spans="1:5" x14ac:dyDescent="0.25">
      <c r="A5" s="4">
        <v>3</v>
      </c>
      <c r="B5" s="4" t="s">
        <v>21</v>
      </c>
      <c r="C5" s="6">
        <v>800000</v>
      </c>
      <c r="D5" s="6">
        <v>950000</v>
      </c>
      <c r="E5" s="6">
        <f t="shared" si="0"/>
        <v>150000</v>
      </c>
    </row>
    <row r="6" spans="1:5" x14ac:dyDescent="0.25">
      <c r="A6" s="4">
        <v>4</v>
      </c>
      <c r="B6" s="10" t="s">
        <v>41</v>
      </c>
      <c r="C6" s="6">
        <v>1700000</v>
      </c>
      <c r="D6" s="6">
        <v>1900000</v>
      </c>
      <c r="E6" s="6">
        <f t="shared" si="0"/>
        <v>200000</v>
      </c>
    </row>
    <row r="7" spans="1:5" x14ac:dyDescent="0.25">
      <c r="A7" s="4">
        <v>5</v>
      </c>
      <c r="B7" s="4" t="s">
        <v>30</v>
      </c>
      <c r="C7" s="6">
        <v>999999</v>
      </c>
      <c r="D7" s="6">
        <v>1187395</v>
      </c>
      <c r="E7" s="6">
        <f t="shared" si="0"/>
        <v>187396</v>
      </c>
    </row>
    <row r="8" spans="1:5" x14ac:dyDescent="0.25">
      <c r="A8" s="4">
        <v>6</v>
      </c>
      <c r="B8" s="10" t="s">
        <v>27</v>
      </c>
      <c r="C8" s="6">
        <v>4999999</v>
      </c>
      <c r="D8" s="6">
        <v>4987500</v>
      </c>
      <c r="E8" s="6">
        <f t="shared" si="0"/>
        <v>-12499</v>
      </c>
    </row>
    <row r="9" spans="1:5" x14ac:dyDescent="0.25">
      <c r="A9" s="4">
        <v>7</v>
      </c>
      <c r="B9" s="10" t="s">
        <v>42</v>
      </c>
      <c r="C9" s="6">
        <v>500000</v>
      </c>
      <c r="D9" s="6">
        <v>855000</v>
      </c>
      <c r="E9" s="6">
        <f t="shared" si="0"/>
        <v>355000</v>
      </c>
    </row>
    <row r="10" spans="1:5" x14ac:dyDescent="0.25">
      <c r="A10" s="4">
        <v>8</v>
      </c>
      <c r="B10" s="4" t="s">
        <v>30</v>
      </c>
      <c r="C10" s="6">
        <v>1000000</v>
      </c>
      <c r="D10" s="6">
        <v>1187395</v>
      </c>
      <c r="E10" s="6">
        <f t="shared" si="0"/>
        <v>187395</v>
      </c>
    </row>
    <row r="11" spans="1:5" x14ac:dyDescent="0.25">
      <c r="A11" s="4">
        <v>9</v>
      </c>
      <c r="B11" s="10" t="s">
        <v>43</v>
      </c>
      <c r="C11" s="6">
        <v>1650000</v>
      </c>
      <c r="D11" s="6">
        <v>1898100</v>
      </c>
      <c r="E11" s="6">
        <f t="shared" si="0"/>
        <v>248100</v>
      </c>
    </row>
    <row r="12" spans="1:5" x14ac:dyDescent="0.25">
      <c r="A12" s="4">
        <v>10</v>
      </c>
      <c r="B12" s="10" t="s">
        <v>13</v>
      </c>
      <c r="C12" s="6">
        <v>4500000</v>
      </c>
      <c r="D12" s="6">
        <v>4645500</v>
      </c>
      <c r="E12" s="6">
        <f t="shared" si="0"/>
        <v>145500</v>
      </c>
    </row>
    <row r="13" spans="1:5" x14ac:dyDescent="0.25">
      <c r="A13" s="4">
        <v>11</v>
      </c>
      <c r="B13" s="10" t="s">
        <v>14</v>
      </c>
      <c r="C13" s="6">
        <v>1000000</v>
      </c>
      <c r="D13" s="6">
        <v>1282500</v>
      </c>
      <c r="E13" s="6">
        <f t="shared" si="0"/>
        <v>282500</v>
      </c>
    </row>
    <row r="14" spans="1:5" x14ac:dyDescent="0.25">
      <c r="A14" s="4">
        <v>12</v>
      </c>
      <c r="B14" s="10" t="s">
        <v>44</v>
      </c>
      <c r="C14" s="6">
        <v>950000</v>
      </c>
      <c r="D14" s="6">
        <v>1066848</v>
      </c>
      <c r="E14" s="6">
        <f t="shared" si="0"/>
        <v>116848</v>
      </c>
    </row>
    <row r="15" spans="1:5" x14ac:dyDescent="0.25">
      <c r="A15" s="4">
        <v>13</v>
      </c>
      <c r="B15" s="10" t="s">
        <v>27</v>
      </c>
      <c r="C15" s="6">
        <v>4900001</v>
      </c>
      <c r="D15" s="6">
        <v>5699050</v>
      </c>
      <c r="E15" s="6">
        <f t="shared" si="0"/>
        <v>799049</v>
      </c>
    </row>
    <row r="16" spans="1:5" x14ac:dyDescent="0.25">
      <c r="A16" s="4">
        <v>14</v>
      </c>
      <c r="B16" s="10" t="s">
        <v>23</v>
      </c>
      <c r="C16" s="6">
        <v>3400000</v>
      </c>
      <c r="D16" s="6">
        <v>3609049</v>
      </c>
      <c r="E16" s="6">
        <f t="shared" si="0"/>
        <v>209049</v>
      </c>
    </row>
    <row r="17" spans="1:5" x14ac:dyDescent="0.25">
      <c r="A17" s="4">
        <v>15</v>
      </c>
      <c r="B17" s="10" t="s">
        <v>45</v>
      </c>
      <c r="C17" s="6">
        <v>245000</v>
      </c>
      <c r="D17" s="6">
        <v>718200</v>
      </c>
      <c r="E17" s="6">
        <f t="shared" si="0"/>
        <v>473200</v>
      </c>
    </row>
    <row r="18" spans="1:5" x14ac:dyDescent="0.25">
      <c r="A18" s="4">
        <v>16</v>
      </c>
      <c r="B18" s="10" t="s">
        <v>23</v>
      </c>
      <c r="C18" s="6">
        <v>3400000</v>
      </c>
      <c r="D18" s="6">
        <v>3686000</v>
      </c>
      <c r="E18" s="6">
        <f t="shared" si="0"/>
        <v>286000</v>
      </c>
    </row>
    <row r="19" spans="1:5" x14ac:dyDescent="0.25">
      <c r="A19" s="4">
        <v>17</v>
      </c>
      <c r="B19" s="10" t="s">
        <v>23</v>
      </c>
      <c r="C19" s="6">
        <v>3400000</v>
      </c>
      <c r="D19" s="6">
        <v>3686000</v>
      </c>
      <c r="E19" s="6">
        <f t="shared" si="0"/>
        <v>286000</v>
      </c>
    </row>
    <row r="20" spans="1:5" x14ac:dyDescent="0.25">
      <c r="A20" s="4">
        <v>18</v>
      </c>
      <c r="B20" s="10" t="s">
        <v>23</v>
      </c>
      <c r="C20" s="6">
        <v>3200000</v>
      </c>
      <c r="D20" s="6">
        <v>3695500</v>
      </c>
      <c r="E20" s="6">
        <f t="shared" si="0"/>
        <v>495500</v>
      </c>
    </row>
    <row r="21" spans="1:5" x14ac:dyDescent="0.25">
      <c r="A21" s="4">
        <v>19</v>
      </c>
      <c r="B21" s="10" t="s">
        <v>46</v>
      </c>
      <c r="C21" s="6">
        <v>50000</v>
      </c>
      <c r="D21" s="6">
        <v>190000</v>
      </c>
      <c r="E21" s="6">
        <f t="shared" si="0"/>
        <v>140000</v>
      </c>
    </row>
    <row r="22" spans="1:5" x14ac:dyDescent="0.25">
      <c r="A22" s="4">
        <v>20</v>
      </c>
      <c r="B22" s="10" t="s">
        <v>34</v>
      </c>
      <c r="C22" s="6">
        <v>5500000</v>
      </c>
      <c r="D22" s="6">
        <v>5699999</v>
      </c>
      <c r="E22" s="6">
        <f t="shared" si="0"/>
        <v>199999</v>
      </c>
    </row>
    <row r="23" spans="1:5" x14ac:dyDescent="0.25">
      <c r="A23" s="4">
        <v>21</v>
      </c>
      <c r="B23" s="4" t="s">
        <v>40</v>
      </c>
      <c r="C23" s="6">
        <v>155555</v>
      </c>
      <c r="D23" s="6">
        <v>185250</v>
      </c>
      <c r="E23" s="6">
        <f t="shared" si="0"/>
        <v>29695</v>
      </c>
    </row>
    <row r="24" spans="1:5" x14ac:dyDescent="0.25">
      <c r="A24" s="4">
        <v>22</v>
      </c>
      <c r="B24" s="10" t="s">
        <v>23</v>
      </c>
      <c r="C24" s="6">
        <v>3450000</v>
      </c>
      <c r="D24" s="6">
        <v>3695500</v>
      </c>
      <c r="E24" s="6">
        <f t="shared" si="0"/>
        <v>245500</v>
      </c>
    </row>
    <row r="25" spans="1:5" x14ac:dyDescent="0.25">
      <c r="A25" s="4">
        <v>23</v>
      </c>
      <c r="B25" s="10" t="s">
        <v>15</v>
      </c>
      <c r="C25" s="6">
        <v>1800000</v>
      </c>
      <c r="D25" s="6">
        <v>2137500</v>
      </c>
      <c r="E25" s="6">
        <f t="shared" si="0"/>
        <v>337500</v>
      </c>
    </row>
    <row r="26" spans="1:5" x14ac:dyDescent="0.25">
      <c r="A26" s="4">
        <v>24</v>
      </c>
      <c r="B26" s="10" t="s">
        <v>16</v>
      </c>
      <c r="C26" s="6">
        <v>2700000</v>
      </c>
      <c r="D26" s="7">
        <v>2802500</v>
      </c>
      <c r="E26" s="6">
        <f t="shared" si="0"/>
        <v>102500</v>
      </c>
    </row>
    <row r="27" spans="1:5" x14ac:dyDescent="0.25">
      <c r="A27" s="4">
        <v>25</v>
      </c>
      <c r="B27" s="10" t="s">
        <v>26</v>
      </c>
      <c r="C27" s="6">
        <v>1580000</v>
      </c>
      <c r="D27" s="6">
        <v>1700500</v>
      </c>
      <c r="E27" s="6">
        <f t="shared" si="0"/>
        <v>120500</v>
      </c>
    </row>
    <row r="28" spans="1:5" x14ac:dyDescent="0.25">
      <c r="A28" s="4">
        <v>26</v>
      </c>
      <c r="B28" s="10" t="s">
        <v>41</v>
      </c>
      <c r="C28" s="6">
        <v>1800000</v>
      </c>
      <c r="D28" s="6">
        <v>1862000</v>
      </c>
      <c r="E28" s="6">
        <f t="shared" si="0"/>
        <v>62000</v>
      </c>
    </row>
    <row r="29" spans="1:5" x14ac:dyDescent="0.25">
      <c r="A29" s="4">
        <v>27</v>
      </c>
      <c r="B29" s="10" t="s">
        <v>31</v>
      </c>
      <c r="C29" s="6">
        <v>90000</v>
      </c>
      <c r="D29" s="6">
        <v>842650</v>
      </c>
      <c r="E29" s="6">
        <f t="shared" si="0"/>
        <v>752650</v>
      </c>
    </row>
    <row r="30" spans="1:5" x14ac:dyDescent="0.25">
      <c r="A30" s="4">
        <v>28</v>
      </c>
      <c r="B30" s="10" t="s">
        <v>43</v>
      </c>
      <c r="C30" s="6">
        <v>1550000</v>
      </c>
      <c r="D30" s="6">
        <v>1994050</v>
      </c>
      <c r="E30" s="6">
        <f t="shared" si="0"/>
        <v>444050</v>
      </c>
    </row>
    <row r="31" spans="1:5" x14ac:dyDescent="0.25">
      <c r="A31" s="4">
        <v>29</v>
      </c>
      <c r="B31" s="10" t="s">
        <v>42</v>
      </c>
      <c r="C31" s="6">
        <v>1200001</v>
      </c>
      <c r="D31" s="6">
        <v>1411957</v>
      </c>
      <c r="E31" s="6">
        <f t="shared" si="0"/>
        <v>211956</v>
      </c>
    </row>
    <row r="32" spans="1:5" x14ac:dyDescent="0.25">
      <c r="A32" s="4">
        <v>30</v>
      </c>
      <c r="B32" s="10" t="s">
        <v>16</v>
      </c>
      <c r="C32" s="6">
        <v>2500000</v>
      </c>
      <c r="D32" s="6">
        <v>2818332</v>
      </c>
      <c r="E32" s="6">
        <f t="shared" si="0"/>
        <v>318332</v>
      </c>
    </row>
    <row r="33" spans="1:5" x14ac:dyDescent="0.25">
      <c r="A33" s="4">
        <v>31</v>
      </c>
      <c r="B33" s="10" t="s">
        <v>43</v>
      </c>
      <c r="C33" s="6">
        <v>1500000</v>
      </c>
      <c r="D33" s="7">
        <v>1719500</v>
      </c>
      <c r="E33" s="6">
        <f t="shared" si="0"/>
        <v>219500</v>
      </c>
    </row>
    <row r="34" spans="1:5" x14ac:dyDescent="0.25">
      <c r="A34" s="4">
        <v>32</v>
      </c>
      <c r="B34" s="10" t="s">
        <v>43</v>
      </c>
      <c r="C34" s="6">
        <v>1599999</v>
      </c>
      <c r="D34" s="6">
        <v>1719500</v>
      </c>
      <c r="E34" s="6">
        <f t="shared" si="0"/>
        <v>119501</v>
      </c>
    </row>
    <row r="35" spans="1:5" x14ac:dyDescent="0.25">
      <c r="A35" s="4">
        <v>33</v>
      </c>
      <c r="B35" s="10" t="s">
        <v>16</v>
      </c>
      <c r="C35" s="6">
        <v>2777777</v>
      </c>
      <c r="D35" s="6">
        <v>2818332</v>
      </c>
      <c r="E35" s="6">
        <f t="shared" si="0"/>
        <v>40555</v>
      </c>
    </row>
    <row r="36" spans="1:5" x14ac:dyDescent="0.25">
      <c r="A36" s="4">
        <v>34</v>
      </c>
      <c r="B36" s="10" t="s">
        <v>47</v>
      </c>
      <c r="C36" s="6">
        <v>3000000</v>
      </c>
      <c r="D36" s="6">
        <v>2945000</v>
      </c>
      <c r="E36" s="6">
        <f t="shared" si="0"/>
        <v>-55000</v>
      </c>
    </row>
    <row r="37" spans="1:5" x14ac:dyDescent="0.25">
      <c r="A37" s="4">
        <v>35</v>
      </c>
      <c r="B37" s="10" t="s">
        <v>48</v>
      </c>
      <c r="C37" s="6">
        <v>1150000</v>
      </c>
      <c r="D37" s="6">
        <v>1187500</v>
      </c>
      <c r="E37" s="6">
        <f t="shared" si="0"/>
        <v>37500</v>
      </c>
    </row>
    <row r="38" spans="1:5" x14ac:dyDescent="0.25">
      <c r="A38" s="4">
        <v>35</v>
      </c>
      <c r="B38" s="10" t="s">
        <v>49</v>
      </c>
      <c r="C38" s="6">
        <v>125000</v>
      </c>
      <c r="D38" s="6">
        <v>241291</v>
      </c>
      <c r="E38" s="6">
        <f t="shared" si="0"/>
        <v>116291</v>
      </c>
    </row>
    <row r="39" spans="1:5" x14ac:dyDescent="0.25">
      <c r="A39" s="89" t="s">
        <v>8</v>
      </c>
      <c r="B39" s="89"/>
      <c r="C39" s="89"/>
      <c r="D39" s="89"/>
      <c r="E39" s="8">
        <v>101667</v>
      </c>
    </row>
    <row r="40" spans="1:5" x14ac:dyDescent="0.25">
      <c r="A40" s="89" t="s">
        <v>9</v>
      </c>
      <c r="B40" s="89"/>
      <c r="C40" s="89"/>
      <c r="D40" s="89"/>
      <c r="E40" s="8">
        <f>SUM(E3:E38)-E39</f>
        <v>8285975</v>
      </c>
    </row>
    <row r="41" spans="1:5" x14ac:dyDescent="0.25">
      <c r="B41" s="10"/>
      <c r="C41" s="6"/>
      <c r="D41" s="6"/>
      <c r="E41" s="6"/>
    </row>
    <row r="42" spans="1:5" x14ac:dyDescent="0.25">
      <c r="B42" s="10"/>
      <c r="C42" s="6"/>
      <c r="D42" s="6"/>
      <c r="E42" s="6"/>
    </row>
    <row r="43" spans="1:5" x14ac:dyDescent="0.25">
      <c r="B43" s="10"/>
      <c r="C43" s="6"/>
      <c r="D43" s="6"/>
      <c r="E43" s="6"/>
    </row>
    <row r="44" spans="1:5" x14ac:dyDescent="0.25">
      <c r="B44" s="10"/>
      <c r="C44" s="6"/>
      <c r="D44" s="6"/>
      <c r="E44" s="6"/>
    </row>
    <row r="45" spans="1:5" x14ac:dyDescent="0.25">
      <c r="B45" s="10"/>
      <c r="C45" s="6"/>
      <c r="D45" s="6"/>
      <c r="E45" s="6"/>
    </row>
    <row r="46" spans="1:5" x14ac:dyDescent="0.25">
      <c r="B46" s="10"/>
      <c r="C46" s="6"/>
      <c r="D46" s="6"/>
      <c r="E46" s="6"/>
    </row>
    <row r="47" spans="1:5" x14ac:dyDescent="0.25">
      <c r="B47" s="10"/>
      <c r="C47" s="6"/>
      <c r="D47" s="6"/>
      <c r="E47" s="6"/>
    </row>
    <row r="48" spans="1:5" x14ac:dyDescent="0.25">
      <c r="B48" s="10"/>
      <c r="C48" s="6"/>
      <c r="D48" s="6"/>
      <c r="E48" s="6"/>
    </row>
    <row r="49" spans="2:5" x14ac:dyDescent="0.25">
      <c r="B49" s="10"/>
      <c r="C49" s="6"/>
      <c r="D49" s="6"/>
      <c r="E49" s="6"/>
    </row>
    <row r="50" spans="2:5" x14ac:dyDescent="0.25">
      <c r="B50" s="10"/>
      <c r="C50" s="6"/>
      <c r="D50" s="6"/>
      <c r="E50" s="6"/>
    </row>
    <row r="51" spans="2:5" x14ac:dyDescent="0.25">
      <c r="C51" s="6"/>
      <c r="D51" s="6"/>
      <c r="E51" s="6"/>
    </row>
    <row r="52" spans="2:5" x14ac:dyDescent="0.25">
      <c r="C52" s="6"/>
      <c r="D52" s="6"/>
      <c r="E52" s="6"/>
    </row>
    <row r="53" spans="2:5" x14ac:dyDescent="0.25">
      <c r="B53" s="10"/>
      <c r="C53" s="6"/>
      <c r="D53" s="6"/>
      <c r="E53" s="6"/>
    </row>
    <row r="54" spans="2:5" x14ac:dyDescent="0.25">
      <c r="B54" s="10"/>
      <c r="C54" s="6"/>
      <c r="D54" s="6"/>
      <c r="E54" s="6"/>
    </row>
    <row r="55" spans="2:5" x14ac:dyDescent="0.25">
      <c r="B55" s="10"/>
      <c r="C55" s="6"/>
      <c r="D55" s="6"/>
      <c r="E55" s="6"/>
    </row>
    <row r="56" spans="2:5" x14ac:dyDescent="0.25">
      <c r="B56" s="10"/>
      <c r="C56" s="6"/>
      <c r="D56" s="6"/>
      <c r="E56" s="6"/>
    </row>
    <row r="57" spans="2:5" x14ac:dyDescent="0.25">
      <c r="B57" s="12"/>
      <c r="C57" s="6"/>
      <c r="D57" s="6"/>
      <c r="E57" s="6"/>
    </row>
    <row r="58" spans="2:5" x14ac:dyDescent="0.25">
      <c r="B58" s="10"/>
      <c r="C58" s="6"/>
      <c r="D58" s="6"/>
      <c r="E58" s="6"/>
    </row>
    <row r="59" spans="2:5" x14ac:dyDescent="0.25">
      <c r="B59" s="10"/>
      <c r="C59" s="6"/>
      <c r="D59" s="6"/>
      <c r="E59" s="6"/>
    </row>
    <row r="60" spans="2:5" x14ac:dyDescent="0.25">
      <c r="B60" s="10"/>
      <c r="C60" s="6"/>
      <c r="D60" s="6"/>
      <c r="E60" s="6"/>
    </row>
    <row r="61" spans="2:5" x14ac:dyDescent="0.25">
      <c r="B61" s="10"/>
      <c r="C61" s="6"/>
      <c r="D61" s="6"/>
      <c r="E61" s="6"/>
    </row>
    <row r="62" spans="2:5" x14ac:dyDescent="0.25">
      <c r="B62" s="10"/>
      <c r="C62" s="6"/>
      <c r="D62" s="6"/>
      <c r="E62" s="6"/>
    </row>
    <row r="63" spans="2:5" x14ac:dyDescent="0.25">
      <c r="B63" s="10"/>
      <c r="C63" s="6"/>
      <c r="D63" s="6"/>
      <c r="E63" s="6"/>
    </row>
    <row r="64" spans="2:5" x14ac:dyDescent="0.25">
      <c r="B64" s="10"/>
      <c r="C64" s="6"/>
      <c r="D64" s="6"/>
      <c r="E64" s="6"/>
    </row>
    <row r="65" spans="2:5" x14ac:dyDescent="0.25">
      <c r="B65" s="10"/>
      <c r="C65" s="6"/>
      <c r="D65" s="6"/>
      <c r="E65" s="6"/>
    </row>
    <row r="66" spans="2:5" x14ac:dyDescent="0.25">
      <c r="B66" s="10"/>
      <c r="C66" s="6"/>
      <c r="D66" s="6"/>
      <c r="E66" s="6"/>
    </row>
    <row r="67" spans="2:5" x14ac:dyDescent="0.25">
      <c r="B67" s="10"/>
      <c r="C67" s="6"/>
      <c r="D67" s="6"/>
      <c r="E67" s="6"/>
    </row>
    <row r="68" spans="2:5" x14ac:dyDescent="0.25">
      <c r="B68" s="10"/>
      <c r="C68" s="6"/>
      <c r="D68" s="6"/>
      <c r="E68" s="6"/>
    </row>
    <row r="69" spans="2:5" x14ac:dyDescent="0.25">
      <c r="B69" s="10"/>
      <c r="C69" s="6"/>
      <c r="D69" s="6"/>
      <c r="E69" s="6"/>
    </row>
    <row r="70" spans="2:5" x14ac:dyDescent="0.25">
      <c r="B70" s="10"/>
      <c r="C70" s="6"/>
      <c r="D70" s="6"/>
      <c r="E70" s="6"/>
    </row>
    <row r="71" spans="2:5" x14ac:dyDescent="0.25">
      <c r="B71" s="10"/>
      <c r="C71" s="6"/>
      <c r="D71" s="6"/>
      <c r="E71" s="6"/>
    </row>
    <row r="72" spans="2:5" x14ac:dyDescent="0.25">
      <c r="B72" s="10"/>
      <c r="C72" s="6"/>
      <c r="D72" s="6"/>
      <c r="E72" s="6"/>
    </row>
    <row r="73" spans="2:5" x14ac:dyDescent="0.25">
      <c r="B73" s="10"/>
      <c r="C73" s="6"/>
      <c r="D73" s="6"/>
      <c r="E73" s="6"/>
    </row>
    <row r="74" spans="2:5" x14ac:dyDescent="0.25">
      <c r="B74" s="10"/>
      <c r="C74" s="6"/>
      <c r="D74" s="6"/>
      <c r="E74" s="6"/>
    </row>
    <row r="75" spans="2:5" x14ac:dyDescent="0.25">
      <c r="B75" s="10"/>
      <c r="C75" s="6"/>
      <c r="D75" s="6"/>
      <c r="E75" s="6"/>
    </row>
    <row r="76" spans="2:5" x14ac:dyDescent="0.25">
      <c r="B76" s="10"/>
      <c r="C76" s="6"/>
      <c r="D76" s="6"/>
      <c r="E76" s="6"/>
    </row>
    <row r="77" spans="2:5" x14ac:dyDescent="0.25">
      <c r="B77" s="10"/>
      <c r="C77" s="6"/>
      <c r="D77" s="6"/>
      <c r="E77" s="6"/>
    </row>
    <row r="78" spans="2:5" x14ac:dyDescent="0.25">
      <c r="B78" s="10"/>
      <c r="C78" s="6"/>
      <c r="D78" s="6"/>
      <c r="E78" s="6"/>
    </row>
    <row r="79" spans="2:5" x14ac:dyDescent="0.25">
      <c r="B79" s="10"/>
      <c r="C79" s="6"/>
      <c r="D79" s="6"/>
      <c r="E79" s="6"/>
    </row>
    <row r="80" spans="2:5" x14ac:dyDescent="0.25">
      <c r="B80" s="10"/>
      <c r="C80" s="6"/>
      <c r="D80" s="6"/>
      <c r="E80" s="6"/>
    </row>
    <row r="81" spans="2:5" x14ac:dyDescent="0.25">
      <c r="B81" s="10"/>
      <c r="C81" s="6"/>
      <c r="D81" s="6"/>
      <c r="E81" s="6"/>
    </row>
    <row r="82" spans="2:5" x14ac:dyDescent="0.25">
      <c r="B82" s="10"/>
      <c r="C82" s="6"/>
      <c r="D82" s="6"/>
      <c r="E82" s="6"/>
    </row>
    <row r="83" spans="2:5" x14ac:dyDescent="0.25">
      <c r="B83" s="10"/>
      <c r="C83" s="6"/>
      <c r="D83" s="6"/>
      <c r="E83" s="6"/>
    </row>
    <row r="84" spans="2:5" x14ac:dyDescent="0.25">
      <c r="B84" s="10"/>
      <c r="C84" s="6"/>
      <c r="D84" s="6"/>
      <c r="E84" s="6"/>
    </row>
    <row r="85" spans="2:5" x14ac:dyDescent="0.25">
      <c r="B85" s="10"/>
      <c r="C85" s="6"/>
      <c r="D85" s="6"/>
      <c r="E85" s="6"/>
    </row>
    <row r="86" spans="2:5" x14ac:dyDescent="0.25">
      <c r="B86" s="10"/>
      <c r="C86" s="6"/>
      <c r="D86" s="6"/>
      <c r="E86" s="6"/>
    </row>
    <row r="87" spans="2:5" x14ac:dyDescent="0.25">
      <c r="B87" s="10"/>
      <c r="C87" s="6"/>
      <c r="D87" s="6"/>
      <c r="E87" s="6"/>
    </row>
    <row r="88" spans="2:5" x14ac:dyDescent="0.25">
      <c r="C88" s="6"/>
      <c r="D88" s="6"/>
      <c r="E88" s="6"/>
    </row>
    <row r="89" spans="2:5" x14ac:dyDescent="0.25">
      <c r="C89" s="6"/>
      <c r="D89" s="6"/>
      <c r="E89" s="6"/>
    </row>
    <row r="90" spans="2:5" x14ac:dyDescent="0.25">
      <c r="C90" s="6"/>
      <c r="D90" s="6"/>
      <c r="E90" s="6"/>
    </row>
    <row r="91" spans="2:5" x14ac:dyDescent="0.25">
      <c r="C91" s="6"/>
      <c r="D91" s="6"/>
      <c r="E91" s="6"/>
    </row>
    <row r="92" spans="2:5" x14ac:dyDescent="0.25">
      <c r="C92" s="6"/>
      <c r="D92" s="6"/>
      <c r="E92" s="6"/>
    </row>
    <row r="93" spans="2:5" x14ac:dyDescent="0.25">
      <c r="C93" s="6"/>
      <c r="D93" s="6"/>
      <c r="E93" s="6"/>
    </row>
    <row r="94" spans="2:5" x14ac:dyDescent="0.25">
      <c r="C94" s="6"/>
      <c r="D94" s="6"/>
      <c r="E94" s="6"/>
    </row>
    <row r="95" spans="2:5" x14ac:dyDescent="0.25">
      <c r="C95" s="6"/>
      <c r="D95" s="6"/>
      <c r="E95" s="6"/>
    </row>
    <row r="96" spans="2:5" x14ac:dyDescent="0.25">
      <c r="C96" s="6"/>
      <c r="D96" s="6"/>
      <c r="E96" s="6"/>
    </row>
    <row r="97" spans="2:5" x14ac:dyDescent="0.25">
      <c r="C97" s="6"/>
      <c r="D97" s="6"/>
      <c r="E97" s="6"/>
    </row>
    <row r="98" spans="2:5" x14ac:dyDescent="0.25">
      <c r="C98" s="6"/>
      <c r="D98" s="6"/>
      <c r="E98" s="6"/>
    </row>
    <row r="99" spans="2:5" x14ac:dyDescent="0.25">
      <c r="C99" s="6"/>
      <c r="D99" s="6"/>
      <c r="E99" s="6"/>
    </row>
    <row r="100" spans="2:5" x14ac:dyDescent="0.25">
      <c r="C100" s="6"/>
      <c r="D100" s="6"/>
      <c r="E100" s="6"/>
    </row>
    <row r="101" spans="2:5" x14ac:dyDescent="0.25">
      <c r="B101" s="10"/>
      <c r="C101" s="6"/>
      <c r="D101" s="6"/>
      <c r="E101" s="6"/>
    </row>
    <row r="102" spans="2:5" x14ac:dyDescent="0.25">
      <c r="B102" s="10"/>
      <c r="C102" s="6"/>
      <c r="D102" s="6"/>
      <c r="E102" s="6"/>
    </row>
    <row r="103" spans="2:5" x14ac:dyDescent="0.25">
      <c r="B103" s="10"/>
      <c r="C103" s="6"/>
      <c r="D103" s="6"/>
      <c r="E103" s="6"/>
    </row>
    <row r="104" spans="2:5" x14ac:dyDescent="0.25">
      <c r="B104" s="10"/>
      <c r="C104" s="6"/>
      <c r="D104" s="6"/>
      <c r="E104" s="6"/>
    </row>
    <row r="105" spans="2:5" x14ac:dyDescent="0.25">
      <c r="B105" s="10"/>
      <c r="C105" s="6"/>
      <c r="D105" s="6"/>
      <c r="E105" s="6"/>
    </row>
    <row r="106" spans="2:5" x14ac:dyDescent="0.25">
      <c r="B106" s="10"/>
      <c r="C106" s="6"/>
      <c r="D106" s="6"/>
      <c r="E106" s="6"/>
    </row>
    <row r="107" spans="2:5" x14ac:dyDescent="0.25">
      <c r="C107" s="6"/>
      <c r="D107" s="6"/>
      <c r="E107" s="6"/>
    </row>
    <row r="108" spans="2:5" x14ac:dyDescent="0.25">
      <c r="C108" s="6"/>
      <c r="D108" s="6"/>
      <c r="E108" s="6"/>
    </row>
    <row r="109" spans="2:5" x14ac:dyDescent="0.25">
      <c r="C109" s="6"/>
      <c r="D109" s="6"/>
      <c r="E109" s="6"/>
    </row>
    <row r="110" spans="2:5" x14ac:dyDescent="0.25">
      <c r="C110" s="6"/>
      <c r="D110" s="6"/>
      <c r="E110" s="6"/>
    </row>
    <row r="111" spans="2:5" x14ac:dyDescent="0.25">
      <c r="C111" s="6"/>
      <c r="D111" s="6"/>
      <c r="E111" s="6"/>
    </row>
    <row r="112" spans="2:5" x14ac:dyDescent="0.25">
      <c r="C112" s="6"/>
      <c r="D112" s="6"/>
      <c r="E112" s="6"/>
    </row>
    <row r="113" spans="3:5" x14ac:dyDescent="0.25">
      <c r="C113" s="6"/>
      <c r="D113" s="6"/>
      <c r="E113" s="6"/>
    </row>
    <row r="114" spans="3:5" x14ac:dyDescent="0.25">
      <c r="C114" s="6"/>
      <c r="D114" s="6"/>
      <c r="E114" s="6"/>
    </row>
    <row r="115" spans="3:5" x14ac:dyDescent="0.25">
      <c r="C115" s="6"/>
      <c r="D115" s="6"/>
      <c r="E115" s="6"/>
    </row>
    <row r="116" spans="3:5" x14ac:dyDescent="0.25">
      <c r="C116" s="6"/>
      <c r="D116" s="6"/>
      <c r="E116" s="6"/>
    </row>
    <row r="117" spans="3:5" x14ac:dyDescent="0.25">
      <c r="C117" s="6"/>
      <c r="D117" s="6"/>
      <c r="E117" s="6"/>
    </row>
    <row r="118" spans="3:5" x14ac:dyDescent="0.25">
      <c r="C118" s="6"/>
      <c r="D118" s="6"/>
      <c r="E118" s="6"/>
    </row>
    <row r="119" spans="3:5" x14ac:dyDescent="0.25">
      <c r="C119" s="6"/>
      <c r="D119" s="6"/>
      <c r="E119" s="6"/>
    </row>
    <row r="120" spans="3:5" x14ac:dyDescent="0.25">
      <c r="C120" s="6"/>
      <c r="D120" s="6"/>
      <c r="E120" s="6"/>
    </row>
    <row r="121" spans="3:5" x14ac:dyDescent="0.25">
      <c r="C121" s="6"/>
      <c r="D121" s="6"/>
      <c r="E121" s="6"/>
    </row>
    <row r="122" spans="3:5" x14ac:dyDescent="0.25">
      <c r="C122" s="6"/>
      <c r="D122" s="6"/>
      <c r="E122" s="6"/>
    </row>
    <row r="123" spans="3:5" x14ac:dyDescent="0.25">
      <c r="C123" s="6"/>
      <c r="D123" s="6"/>
      <c r="E123" s="6"/>
    </row>
    <row r="124" spans="3:5" x14ac:dyDescent="0.25">
      <c r="C124" s="6"/>
      <c r="D124" s="6"/>
      <c r="E124" s="6"/>
    </row>
    <row r="125" spans="3:5" x14ac:dyDescent="0.25">
      <c r="C125" s="6"/>
      <c r="D125" s="6"/>
      <c r="E125" s="6"/>
    </row>
    <row r="126" spans="3:5" x14ac:dyDescent="0.25">
      <c r="C126" s="6"/>
      <c r="D126" s="6"/>
      <c r="E126" s="6"/>
    </row>
    <row r="127" spans="3:5" x14ac:dyDescent="0.25">
      <c r="C127" s="6"/>
      <c r="D127" s="6"/>
      <c r="E127" s="6"/>
    </row>
    <row r="128" spans="3:5" x14ac:dyDescent="0.25">
      <c r="C128" s="6"/>
      <c r="D128" s="6"/>
      <c r="E128" s="6"/>
    </row>
    <row r="129" spans="2:5" x14ac:dyDescent="0.25">
      <c r="C129" s="6"/>
      <c r="D129" s="6"/>
      <c r="E129" s="6"/>
    </row>
    <row r="130" spans="2:5" x14ac:dyDescent="0.25">
      <c r="C130" s="6"/>
      <c r="D130" s="6"/>
      <c r="E130" s="6"/>
    </row>
    <row r="131" spans="2:5" x14ac:dyDescent="0.25">
      <c r="C131" s="6"/>
      <c r="D131" s="6"/>
      <c r="E131" s="6"/>
    </row>
    <row r="132" spans="2:5" x14ac:dyDescent="0.25">
      <c r="C132" s="6"/>
      <c r="D132" s="6"/>
      <c r="E132" s="6"/>
    </row>
    <row r="133" spans="2:5" x14ac:dyDescent="0.25">
      <c r="C133" s="6"/>
      <c r="D133" s="6"/>
      <c r="E133" s="6"/>
    </row>
    <row r="134" spans="2:5" x14ac:dyDescent="0.25">
      <c r="C134" s="6"/>
      <c r="D134" s="6"/>
      <c r="E134" s="6"/>
    </row>
    <row r="135" spans="2:5" x14ac:dyDescent="0.25">
      <c r="C135" s="6"/>
      <c r="D135" s="6"/>
      <c r="E135" s="6"/>
    </row>
    <row r="136" spans="2:5" x14ac:dyDescent="0.25">
      <c r="C136" s="6"/>
      <c r="D136" s="6"/>
      <c r="E136" s="6"/>
    </row>
    <row r="137" spans="2:5" x14ac:dyDescent="0.25">
      <c r="C137" s="6"/>
      <c r="D137" s="6"/>
      <c r="E137" s="6"/>
    </row>
    <row r="138" spans="2:5" x14ac:dyDescent="0.25">
      <c r="C138" s="6"/>
      <c r="D138" s="6"/>
      <c r="E138" s="6"/>
    </row>
    <row r="139" spans="2:5" x14ac:dyDescent="0.25">
      <c r="C139" s="6"/>
      <c r="D139" s="6"/>
      <c r="E139" s="6"/>
    </row>
    <row r="140" spans="2:5" x14ac:dyDescent="0.25">
      <c r="C140" s="6"/>
      <c r="D140" s="6"/>
      <c r="E140" s="6"/>
    </row>
    <row r="141" spans="2:5" x14ac:dyDescent="0.25">
      <c r="C141" s="6"/>
      <c r="D141" s="6"/>
      <c r="E141" s="6"/>
    </row>
    <row r="142" spans="2:5" x14ac:dyDescent="0.25">
      <c r="C142" s="6"/>
      <c r="D142" s="6"/>
      <c r="E142" s="6"/>
    </row>
    <row r="143" spans="2:5" x14ac:dyDescent="0.25">
      <c r="B143" s="10"/>
      <c r="C143" s="6"/>
      <c r="D143" s="6"/>
      <c r="E143" s="6"/>
    </row>
    <row r="144" spans="2:5" x14ac:dyDescent="0.25">
      <c r="C144" s="6"/>
      <c r="D144" s="6"/>
      <c r="E144" s="6"/>
    </row>
    <row r="145" spans="2:5" x14ac:dyDescent="0.25">
      <c r="C145" s="6"/>
      <c r="D145" s="6"/>
      <c r="E145" s="6"/>
    </row>
    <row r="146" spans="2:5" x14ac:dyDescent="0.25">
      <c r="C146" s="6"/>
      <c r="D146" s="6"/>
      <c r="E146" s="6"/>
    </row>
    <row r="147" spans="2:5" x14ac:dyDescent="0.25">
      <c r="C147" s="6"/>
      <c r="D147" s="6"/>
      <c r="E147" s="6"/>
    </row>
    <row r="148" spans="2:5" x14ac:dyDescent="0.25">
      <c r="C148" s="6"/>
      <c r="D148" s="6"/>
      <c r="E148" s="6"/>
    </row>
    <row r="149" spans="2:5" x14ac:dyDescent="0.25">
      <c r="C149" s="6"/>
      <c r="D149" s="6"/>
      <c r="E149" s="6"/>
    </row>
    <row r="150" spans="2:5" x14ac:dyDescent="0.25">
      <c r="C150" s="6"/>
      <c r="D150" s="6"/>
      <c r="E150" s="6"/>
    </row>
    <row r="151" spans="2:5" x14ac:dyDescent="0.25">
      <c r="C151" s="6"/>
      <c r="D151" s="6"/>
      <c r="E151" s="6"/>
    </row>
    <row r="152" spans="2:5" x14ac:dyDescent="0.25">
      <c r="B152" s="10"/>
      <c r="C152" s="6"/>
      <c r="D152" s="6"/>
      <c r="E152" s="6"/>
    </row>
    <row r="153" spans="2:5" x14ac:dyDescent="0.25">
      <c r="C153" s="6"/>
      <c r="D153" s="6"/>
      <c r="E153" s="6"/>
    </row>
    <row r="154" spans="2:5" x14ac:dyDescent="0.25">
      <c r="C154" s="6"/>
      <c r="D154" s="6"/>
      <c r="E154" s="6"/>
    </row>
    <row r="155" spans="2:5" x14ac:dyDescent="0.25">
      <c r="C155" s="6"/>
      <c r="D155" s="6"/>
      <c r="E155" s="6"/>
    </row>
    <row r="156" spans="2:5" x14ac:dyDescent="0.25">
      <c r="C156" s="6"/>
      <c r="D156" s="6"/>
      <c r="E156" s="6"/>
    </row>
    <row r="157" spans="2:5" x14ac:dyDescent="0.25">
      <c r="B157" s="10"/>
      <c r="C157" s="6"/>
      <c r="D157" s="6"/>
      <c r="E157" s="6"/>
    </row>
    <row r="158" spans="2:5" x14ac:dyDescent="0.25">
      <c r="C158" s="6"/>
      <c r="D158" s="6"/>
      <c r="E158" s="6"/>
    </row>
    <row r="159" spans="2:5" x14ac:dyDescent="0.25">
      <c r="B159" s="10"/>
      <c r="C159" s="6"/>
      <c r="D159" s="6"/>
      <c r="E159" s="6"/>
    </row>
    <row r="160" spans="2:5" x14ac:dyDescent="0.25">
      <c r="B160" s="10"/>
      <c r="C160" s="6"/>
      <c r="D160" s="6"/>
      <c r="E160" s="6"/>
    </row>
    <row r="161" spans="2:5" x14ac:dyDescent="0.25">
      <c r="C161" s="6"/>
      <c r="D161" s="6"/>
      <c r="E161" s="6"/>
    </row>
    <row r="162" spans="2:5" x14ac:dyDescent="0.25">
      <c r="B162" s="89"/>
      <c r="C162" s="89"/>
      <c r="D162" s="89"/>
      <c r="E162" s="8"/>
    </row>
    <row r="163" spans="2:5" x14ac:dyDescent="0.25">
      <c r="B163" s="89"/>
      <c r="C163" s="89"/>
      <c r="D163" s="89"/>
      <c r="E163" s="8"/>
    </row>
  </sheetData>
  <autoFilter ref="A1:E40" xr:uid="{6C7B364E-B86A-40D4-9A47-EC0D61090B85}"/>
  <mergeCells count="5">
    <mergeCell ref="A2:E2"/>
    <mergeCell ref="B162:D162"/>
    <mergeCell ref="B163:D163"/>
    <mergeCell ref="A40:D40"/>
    <mergeCell ref="A39:D39"/>
  </mergeCells>
  <conditionalFormatting sqref="E1">
    <cfRule type="cellIs" dxfId="6" priority="3" operator="lessThan">
      <formula>0</formula>
    </cfRule>
  </conditionalFormatting>
  <conditionalFormatting sqref="E3:E163">
    <cfRule type="cellIs" dxfId="5" priority="1" operator="lessThan">
      <formula>0</formula>
    </cfRule>
  </conditionalFormatting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FE367-7A24-4E0B-8A55-21F1AE1F0785}">
  <dimension ref="A1:E163"/>
  <sheetViews>
    <sheetView zoomScale="145" zoomScaleNormal="145" workbookViewId="0">
      <pane ySplit="1" topLeftCell="A20" activePane="bottomLeft" state="frozen"/>
      <selection pane="bottomLeft" activeCell="G163" sqref="G163"/>
    </sheetView>
  </sheetViews>
  <sheetFormatPr defaultRowHeight="15" x14ac:dyDescent="0.25"/>
  <cols>
    <col min="1" max="1" width="4.28515625" bestFit="1" customWidth="1"/>
    <col min="2" max="2" width="38.5703125" bestFit="1" customWidth="1"/>
    <col min="3" max="3" width="21.140625" customWidth="1"/>
    <col min="4" max="4" width="14.85546875" customWidth="1"/>
    <col min="5" max="5" width="15" customWidth="1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46030</v>
      </c>
      <c r="B2" s="87"/>
      <c r="C2" s="87"/>
      <c r="D2" s="87"/>
      <c r="E2" s="87"/>
    </row>
    <row r="3" spans="1:5" x14ac:dyDescent="0.25">
      <c r="A3" s="4">
        <v>1</v>
      </c>
      <c r="B3" s="10" t="s">
        <v>19</v>
      </c>
      <c r="C3" s="6">
        <v>840000</v>
      </c>
      <c r="D3" s="6">
        <v>893000</v>
      </c>
      <c r="E3" s="6">
        <f t="shared" ref="E3:E92" si="0">D3-C3</f>
        <v>53000</v>
      </c>
    </row>
    <row r="4" spans="1:5" x14ac:dyDescent="0.25">
      <c r="A4" s="4">
        <v>2</v>
      </c>
      <c r="B4" s="11" t="s">
        <v>22</v>
      </c>
      <c r="C4" s="6">
        <v>110000</v>
      </c>
      <c r="D4" s="6">
        <v>169101</v>
      </c>
      <c r="E4" s="6">
        <f t="shared" si="0"/>
        <v>59101</v>
      </c>
    </row>
    <row r="5" spans="1:5" x14ac:dyDescent="0.25">
      <c r="A5" s="4">
        <v>3</v>
      </c>
      <c r="B5" s="10" t="s">
        <v>22</v>
      </c>
      <c r="C5" s="6">
        <v>120000</v>
      </c>
      <c r="D5" s="6">
        <v>168889</v>
      </c>
      <c r="E5" s="6">
        <f t="shared" si="0"/>
        <v>48889</v>
      </c>
    </row>
    <row r="6" spans="1:5" x14ac:dyDescent="0.25">
      <c r="A6" s="4">
        <v>4</v>
      </c>
      <c r="B6" s="10" t="s">
        <v>18</v>
      </c>
      <c r="C6" s="6">
        <v>2750000</v>
      </c>
      <c r="D6" s="6">
        <v>3087500</v>
      </c>
      <c r="E6" s="6">
        <f t="shared" si="0"/>
        <v>337500</v>
      </c>
    </row>
    <row r="7" spans="1:5" x14ac:dyDescent="0.25">
      <c r="A7" s="4">
        <v>5</v>
      </c>
      <c r="B7" s="10" t="s">
        <v>23</v>
      </c>
      <c r="C7" s="6">
        <v>3400000</v>
      </c>
      <c r="D7" s="6">
        <v>3515000</v>
      </c>
      <c r="E7" s="6">
        <f t="shared" si="0"/>
        <v>115000</v>
      </c>
    </row>
    <row r="8" spans="1:5" x14ac:dyDescent="0.25">
      <c r="A8" s="4">
        <v>6</v>
      </c>
      <c r="B8" s="10" t="s">
        <v>24</v>
      </c>
      <c r="C8" s="6">
        <v>3400000</v>
      </c>
      <c r="D8" s="6">
        <v>3610000</v>
      </c>
      <c r="E8" s="6">
        <f t="shared" si="0"/>
        <v>210000</v>
      </c>
    </row>
    <row r="9" spans="1:5" x14ac:dyDescent="0.25">
      <c r="A9" s="4">
        <v>7</v>
      </c>
      <c r="B9" s="10" t="s">
        <v>24</v>
      </c>
      <c r="C9" s="6">
        <v>3400000</v>
      </c>
      <c r="D9" s="6">
        <v>3610000</v>
      </c>
      <c r="E9" s="6">
        <f t="shared" si="0"/>
        <v>210000</v>
      </c>
    </row>
    <row r="10" spans="1:5" x14ac:dyDescent="0.25">
      <c r="A10" s="4">
        <v>8</v>
      </c>
      <c r="B10" s="10" t="s">
        <v>25</v>
      </c>
      <c r="C10" s="6">
        <v>9000000</v>
      </c>
      <c r="D10" s="6">
        <v>9481000</v>
      </c>
      <c r="E10" s="6">
        <f t="shared" si="0"/>
        <v>481000</v>
      </c>
    </row>
    <row r="11" spans="1:5" x14ac:dyDescent="0.25">
      <c r="A11" s="4">
        <v>9</v>
      </c>
      <c r="B11" s="10" t="s">
        <v>26</v>
      </c>
      <c r="C11" s="6">
        <v>1474999</v>
      </c>
      <c r="D11" s="6">
        <v>1662500</v>
      </c>
      <c r="E11" s="6">
        <f t="shared" si="0"/>
        <v>187501</v>
      </c>
    </row>
    <row r="12" spans="1:5" x14ac:dyDescent="0.25">
      <c r="A12" s="4">
        <v>10</v>
      </c>
      <c r="B12" s="10" t="s">
        <v>13</v>
      </c>
      <c r="C12" s="6">
        <v>4300000</v>
      </c>
      <c r="D12" s="6">
        <v>4465000</v>
      </c>
      <c r="E12" s="6">
        <f t="shared" si="0"/>
        <v>165000</v>
      </c>
    </row>
    <row r="13" spans="1:5" x14ac:dyDescent="0.25">
      <c r="A13" s="4">
        <v>11</v>
      </c>
      <c r="B13" s="10" t="s">
        <v>15</v>
      </c>
      <c r="C13" s="6">
        <v>1899999</v>
      </c>
      <c r="D13" s="6">
        <v>2014000</v>
      </c>
      <c r="E13" s="6">
        <f t="shared" si="0"/>
        <v>114001</v>
      </c>
    </row>
    <row r="14" spans="1:5" x14ac:dyDescent="0.25">
      <c r="A14" s="4">
        <v>12</v>
      </c>
      <c r="B14" s="10" t="s">
        <v>13</v>
      </c>
      <c r="C14" s="6">
        <v>4300000</v>
      </c>
      <c r="D14" s="6">
        <v>4465000</v>
      </c>
      <c r="E14" s="6">
        <f t="shared" si="0"/>
        <v>165000</v>
      </c>
    </row>
    <row r="15" spans="1:5" x14ac:dyDescent="0.25">
      <c r="A15" s="4">
        <v>13</v>
      </c>
      <c r="B15" s="10" t="s">
        <v>15</v>
      </c>
      <c r="C15" s="6">
        <v>1700000</v>
      </c>
      <c r="D15" s="6">
        <v>2033000</v>
      </c>
      <c r="E15" s="6">
        <f t="shared" si="0"/>
        <v>333000</v>
      </c>
    </row>
    <row r="16" spans="1:5" x14ac:dyDescent="0.25">
      <c r="A16" s="4">
        <v>14</v>
      </c>
      <c r="B16" s="10" t="s">
        <v>6</v>
      </c>
      <c r="C16" s="6">
        <v>7200000</v>
      </c>
      <c r="D16" s="6">
        <v>7921839</v>
      </c>
      <c r="E16" s="6">
        <f t="shared" si="0"/>
        <v>721839</v>
      </c>
    </row>
    <row r="17" spans="1:5" x14ac:dyDescent="0.25">
      <c r="A17" s="4">
        <v>15</v>
      </c>
      <c r="B17" s="10" t="s">
        <v>27</v>
      </c>
      <c r="C17" s="6">
        <v>4500000</v>
      </c>
      <c r="D17" s="6">
        <v>4560000</v>
      </c>
      <c r="E17" s="6">
        <f t="shared" si="0"/>
        <v>60000</v>
      </c>
    </row>
    <row r="18" spans="1:5" x14ac:dyDescent="0.25">
      <c r="A18" s="4">
        <v>16</v>
      </c>
      <c r="B18" s="10" t="s">
        <v>28</v>
      </c>
      <c r="C18" s="6">
        <v>1280000</v>
      </c>
      <c r="D18" s="6">
        <v>1424999</v>
      </c>
      <c r="E18" s="6">
        <f t="shared" si="0"/>
        <v>144999</v>
      </c>
    </row>
    <row r="19" spans="1:5" x14ac:dyDescent="0.25">
      <c r="A19" s="4">
        <v>17</v>
      </c>
      <c r="B19" s="10" t="s">
        <v>29</v>
      </c>
      <c r="C19" s="6">
        <v>500000</v>
      </c>
      <c r="D19" s="6">
        <v>603250</v>
      </c>
      <c r="E19" s="6">
        <f t="shared" si="0"/>
        <v>103250</v>
      </c>
    </row>
    <row r="20" spans="1:5" x14ac:dyDescent="0.25">
      <c r="A20" s="4">
        <v>18</v>
      </c>
      <c r="B20" s="10" t="s">
        <v>30</v>
      </c>
      <c r="C20" s="6">
        <v>999999</v>
      </c>
      <c r="D20" s="6">
        <v>1253050</v>
      </c>
      <c r="E20" s="6">
        <f t="shared" si="0"/>
        <v>253051</v>
      </c>
    </row>
    <row r="21" spans="1:5" x14ac:dyDescent="0.25">
      <c r="A21" s="4">
        <v>19</v>
      </c>
      <c r="B21" s="10" t="s">
        <v>15</v>
      </c>
      <c r="C21" s="6">
        <v>1700000</v>
      </c>
      <c r="D21" s="6">
        <v>1899999</v>
      </c>
      <c r="E21" s="6">
        <f t="shared" si="0"/>
        <v>199999</v>
      </c>
    </row>
    <row r="22" spans="1:5" x14ac:dyDescent="0.25">
      <c r="A22" s="4">
        <v>20</v>
      </c>
      <c r="B22" s="10" t="s">
        <v>31</v>
      </c>
      <c r="C22" s="6">
        <v>700000</v>
      </c>
      <c r="D22" s="6">
        <v>807499</v>
      </c>
      <c r="E22" s="6">
        <f t="shared" si="0"/>
        <v>107499</v>
      </c>
    </row>
    <row r="23" spans="1:5" x14ac:dyDescent="0.25">
      <c r="A23" s="4">
        <v>21</v>
      </c>
      <c r="B23" s="10" t="s">
        <v>27</v>
      </c>
      <c r="C23" s="6">
        <v>4699999</v>
      </c>
      <c r="D23" s="6">
        <v>4750000</v>
      </c>
      <c r="E23" s="6">
        <f t="shared" si="0"/>
        <v>50001</v>
      </c>
    </row>
    <row r="24" spans="1:5" x14ac:dyDescent="0.25">
      <c r="A24" s="4">
        <v>22</v>
      </c>
      <c r="B24" s="10" t="s">
        <v>17</v>
      </c>
      <c r="C24" s="6">
        <v>3000000</v>
      </c>
      <c r="D24" s="6">
        <v>3325000</v>
      </c>
      <c r="E24" s="6">
        <f t="shared" si="0"/>
        <v>325000</v>
      </c>
    </row>
    <row r="25" spans="1:5" x14ac:dyDescent="0.25">
      <c r="A25" s="4">
        <v>23</v>
      </c>
      <c r="B25" s="10" t="s">
        <v>16</v>
      </c>
      <c r="C25" s="6">
        <v>2000000</v>
      </c>
      <c r="D25" s="6">
        <v>2850000</v>
      </c>
      <c r="E25" s="6">
        <f t="shared" si="0"/>
        <v>850000</v>
      </c>
    </row>
    <row r="26" spans="1:5" x14ac:dyDescent="0.25">
      <c r="A26" s="4">
        <v>24</v>
      </c>
      <c r="B26" s="10" t="s">
        <v>16</v>
      </c>
      <c r="C26" s="6">
        <v>2400000</v>
      </c>
      <c r="D26" s="6">
        <v>2850000</v>
      </c>
      <c r="E26" s="6">
        <f t="shared" si="0"/>
        <v>450000</v>
      </c>
    </row>
    <row r="27" spans="1:5" x14ac:dyDescent="0.25">
      <c r="A27" s="4">
        <v>25</v>
      </c>
      <c r="B27" s="10" t="s">
        <v>32</v>
      </c>
      <c r="C27" s="6">
        <v>550000</v>
      </c>
      <c r="D27" s="6">
        <v>665000</v>
      </c>
      <c r="E27" s="6">
        <f t="shared" si="0"/>
        <v>115000</v>
      </c>
    </row>
    <row r="28" spans="1:5" x14ac:dyDescent="0.25">
      <c r="A28" s="4">
        <v>26</v>
      </c>
      <c r="B28" s="10" t="s">
        <v>33</v>
      </c>
      <c r="C28" s="6">
        <v>2400000</v>
      </c>
      <c r="D28" s="6">
        <v>2611550</v>
      </c>
      <c r="E28" s="6">
        <f t="shared" si="0"/>
        <v>211550</v>
      </c>
    </row>
    <row r="29" spans="1:5" x14ac:dyDescent="0.25">
      <c r="A29" s="4">
        <v>27</v>
      </c>
      <c r="B29" s="10" t="s">
        <v>31</v>
      </c>
      <c r="C29" s="6">
        <v>700000</v>
      </c>
      <c r="D29" s="6">
        <v>759999</v>
      </c>
      <c r="E29" s="6">
        <f t="shared" si="0"/>
        <v>59999</v>
      </c>
    </row>
    <row r="30" spans="1:5" x14ac:dyDescent="0.25">
      <c r="A30" s="4">
        <v>28</v>
      </c>
      <c r="B30" s="10" t="s">
        <v>6</v>
      </c>
      <c r="C30" s="6">
        <v>7500000</v>
      </c>
      <c r="D30" s="6">
        <v>7885000</v>
      </c>
      <c r="E30" s="6">
        <f t="shared" si="0"/>
        <v>385000</v>
      </c>
    </row>
    <row r="31" spans="1:5" x14ac:dyDescent="0.25">
      <c r="A31" s="4">
        <v>29</v>
      </c>
      <c r="B31" s="10" t="s">
        <v>13</v>
      </c>
      <c r="C31" s="6">
        <v>4200000</v>
      </c>
      <c r="D31" s="6">
        <v>4465000</v>
      </c>
      <c r="E31" s="6">
        <f t="shared" si="0"/>
        <v>265000</v>
      </c>
    </row>
    <row r="32" spans="1:5" x14ac:dyDescent="0.25">
      <c r="A32" s="4">
        <v>30</v>
      </c>
      <c r="B32" s="10" t="s">
        <v>13</v>
      </c>
      <c r="C32" s="6">
        <v>4300000</v>
      </c>
      <c r="D32" s="6">
        <v>4465000</v>
      </c>
      <c r="E32" s="6">
        <f t="shared" si="0"/>
        <v>165000</v>
      </c>
    </row>
    <row r="33" spans="1:5" x14ac:dyDescent="0.25">
      <c r="A33" s="4">
        <v>31</v>
      </c>
      <c r="B33" s="10" t="s">
        <v>30</v>
      </c>
      <c r="C33" s="6">
        <v>1000000</v>
      </c>
      <c r="D33" s="6">
        <v>1234999</v>
      </c>
      <c r="E33" s="6">
        <f t="shared" si="0"/>
        <v>234999</v>
      </c>
    </row>
    <row r="34" spans="1:5" x14ac:dyDescent="0.25">
      <c r="A34" s="4">
        <v>32</v>
      </c>
      <c r="B34" s="10" t="s">
        <v>31</v>
      </c>
      <c r="C34" s="6">
        <v>700000</v>
      </c>
      <c r="D34" s="6">
        <v>855000</v>
      </c>
      <c r="E34" s="6">
        <f t="shared" si="0"/>
        <v>155000</v>
      </c>
    </row>
    <row r="35" spans="1:5" x14ac:dyDescent="0.25">
      <c r="A35" s="4">
        <v>33</v>
      </c>
      <c r="B35" s="10" t="s">
        <v>23</v>
      </c>
      <c r="C35" s="6">
        <v>3400000</v>
      </c>
      <c r="D35" s="6">
        <v>3496000</v>
      </c>
      <c r="E35" s="6">
        <f>D35-C35</f>
        <v>96000</v>
      </c>
    </row>
    <row r="36" spans="1:5" x14ac:dyDescent="0.25">
      <c r="A36" s="4">
        <v>34</v>
      </c>
      <c r="B36" s="10" t="s">
        <v>19</v>
      </c>
      <c r="C36" s="6">
        <v>750000</v>
      </c>
      <c r="D36" s="6">
        <v>853840</v>
      </c>
      <c r="E36" s="6">
        <f t="shared" si="0"/>
        <v>103840</v>
      </c>
    </row>
    <row r="37" spans="1:5" x14ac:dyDescent="0.25">
      <c r="A37" s="4">
        <v>35</v>
      </c>
      <c r="B37" s="10" t="s">
        <v>19</v>
      </c>
      <c r="C37" s="6">
        <v>750000</v>
      </c>
      <c r="D37" s="6">
        <v>881600</v>
      </c>
      <c r="E37" s="6">
        <f t="shared" si="0"/>
        <v>131600</v>
      </c>
    </row>
    <row r="38" spans="1:5" x14ac:dyDescent="0.25">
      <c r="A38" s="4">
        <v>36</v>
      </c>
      <c r="B38" s="10" t="s">
        <v>23</v>
      </c>
      <c r="C38" s="6">
        <v>3550000</v>
      </c>
      <c r="D38" s="6">
        <v>3799997</v>
      </c>
      <c r="E38" s="6">
        <f>D38-C38</f>
        <v>249997</v>
      </c>
    </row>
    <row r="39" spans="1:5" x14ac:dyDescent="0.25">
      <c r="A39" s="4">
        <v>37</v>
      </c>
      <c r="B39" s="10" t="s">
        <v>27</v>
      </c>
      <c r="C39" s="6">
        <v>4777778</v>
      </c>
      <c r="D39" s="6">
        <v>4940000</v>
      </c>
      <c r="E39" s="6">
        <f t="shared" si="0"/>
        <v>162222</v>
      </c>
    </row>
    <row r="40" spans="1:5" x14ac:dyDescent="0.25">
      <c r="A40" s="4">
        <v>38</v>
      </c>
      <c r="B40" s="10" t="s">
        <v>13</v>
      </c>
      <c r="C40" s="6">
        <v>4242424</v>
      </c>
      <c r="D40" s="6">
        <v>4465000</v>
      </c>
      <c r="E40" s="6">
        <f t="shared" si="0"/>
        <v>222576</v>
      </c>
    </row>
    <row r="41" spans="1:5" x14ac:dyDescent="0.25">
      <c r="A41" s="4">
        <v>39</v>
      </c>
      <c r="B41" s="10" t="s">
        <v>13</v>
      </c>
      <c r="C41" s="6">
        <v>4300000</v>
      </c>
      <c r="D41" s="6">
        <v>4465000</v>
      </c>
      <c r="E41" s="6">
        <f t="shared" si="0"/>
        <v>165000</v>
      </c>
    </row>
    <row r="42" spans="1:5" x14ac:dyDescent="0.25">
      <c r="A42" s="4">
        <v>40</v>
      </c>
      <c r="B42" s="10" t="s">
        <v>31</v>
      </c>
      <c r="C42" s="6">
        <v>700000</v>
      </c>
      <c r="D42" s="6">
        <v>855000</v>
      </c>
      <c r="E42" s="6">
        <f t="shared" si="0"/>
        <v>155000</v>
      </c>
    </row>
    <row r="43" spans="1:5" x14ac:dyDescent="0.25">
      <c r="A43" s="4">
        <v>41</v>
      </c>
      <c r="B43" s="10" t="s">
        <v>23</v>
      </c>
      <c r="C43" s="6">
        <v>3550000</v>
      </c>
      <c r="D43" s="6">
        <v>3752500</v>
      </c>
      <c r="E43" s="6">
        <f t="shared" si="0"/>
        <v>202500</v>
      </c>
    </row>
    <row r="44" spans="1:5" x14ac:dyDescent="0.25">
      <c r="A44" s="4">
        <v>42</v>
      </c>
      <c r="B44" s="10" t="s">
        <v>33</v>
      </c>
      <c r="C44" s="6">
        <v>2500000</v>
      </c>
      <c r="D44" s="6">
        <v>2755000</v>
      </c>
      <c r="E44" s="6">
        <f t="shared" si="0"/>
        <v>255000</v>
      </c>
    </row>
    <row r="45" spans="1:5" x14ac:dyDescent="0.25">
      <c r="A45" s="4">
        <v>43</v>
      </c>
      <c r="B45" s="10" t="s">
        <v>23</v>
      </c>
      <c r="C45" s="6">
        <v>3500000</v>
      </c>
      <c r="D45" s="6">
        <v>3990000</v>
      </c>
      <c r="E45" s="6">
        <f t="shared" si="0"/>
        <v>490000</v>
      </c>
    </row>
    <row r="46" spans="1:5" x14ac:dyDescent="0.25">
      <c r="A46" s="4">
        <v>44</v>
      </c>
      <c r="B46" s="10" t="s">
        <v>34</v>
      </c>
      <c r="C46" s="6">
        <v>5800000</v>
      </c>
      <c r="D46" s="6">
        <v>5700000</v>
      </c>
      <c r="E46" s="6">
        <f t="shared" si="0"/>
        <v>-100000</v>
      </c>
    </row>
    <row r="47" spans="1:5" x14ac:dyDescent="0.25">
      <c r="A47" s="4">
        <v>45</v>
      </c>
      <c r="B47" s="10" t="s">
        <v>31</v>
      </c>
      <c r="C47" s="6">
        <v>710120</v>
      </c>
      <c r="D47" s="6">
        <v>788500</v>
      </c>
      <c r="E47" s="6">
        <f t="shared" si="0"/>
        <v>78380</v>
      </c>
    </row>
    <row r="48" spans="1:5" x14ac:dyDescent="0.25">
      <c r="A48" s="4">
        <v>46</v>
      </c>
      <c r="B48" s="10" t="s">
        <v>33</v>
      </c>
      <c r="C48" s="6">
        <v>2450000</v>
      </c>
      <c r="D48" s="6">
        <v>2755000</v>
      </c>
      <c r="E48" s="6">
        <f t="shared" si="0"/>
        <v>305000</v>
      </c>
    </row>
    <row r="49" spans="1:5" x14ac:dyDescent="0.25">
      <c r="A49" s="4">
        <v>47</v>
      </c>
      <c r="B49" s="10" t="s">
        <v>16</v>
      </c>
      <c r="C49" s="6">
        <v>2500000</v>
      </c>
      <c r="D49" s="6">
        <v>2750000</v>
      </c>
      <c r="E49" s="6">
        <f t="shared" si="0"/>
        <v>250000</v>
      </c>
    </row>
    <row r="50" spans="1:5" x14ac:dyDescent="0.25">
      <c r="A50" s="4">
        <v>48</v>
      </c>
      <c r="B50" s="10" t="s">
        <v>31</v>
      </c>
      <c r="C50" s="6">
        <v>700000</v>
      </c>
      <c r="D50" s="6">
        <v>759999</v>
      </c>
      <c r="E50" s="6">
        <f t="shared" si="0"/>
        <v>59999</v>
      </c>
    </row>
    <row r="51" spans="1:5" x14ac:dyDescent="0.25">
      <c r="A51" s="4">
        <v>49</v>
      </c>
      <c r="B51" s="4" t="s">
        <v>29</v>
      </c>
      <c r="C51" s="6">
        <v>476000</v>
      </c>
      <c r="D51" s="6">
        <v>718200</v>
      </c>
      <c r="E51" s="6">
        <f t="shared" si="0"/>
        <v>242200</v>
      </c>
    </row>
    <row r="52" spans="1:5" x14ac:dyDescent="0.25">
      <c r="A52" s="4">
        <v>50</v>
      </c>
      <c r="B52" s="4" t="s">
        <v>29</v>
      </c>
      <c r="C52" s="6">
        <v>480000</v>
      </c>
      <c r="D52" s="6">
        <v>698250</v>
      </c>
      <c r="E52" s="6">
        <f t="shared" si="0"/>
        <v>218250</v>
      </c>
    </row>
    <row r="53" spans="1:5" x14ac:dyDescent="0.25">
      <c r="A53" s="4">
        <v>51</v>
      </c>
      <c r="B53" s="10" t="s">
        <v>13</v>
      </c>
      <c r="C53" s="6">
        <v>4300000</v>
      </c>
      <c r="D53" s="6">
        <v>4464999</v>
      </c>
      <c r="E53" s="6">
        <f t="shared" si="0"/>
        <v>164999</v>
      </c>
    </row>
    <row r="54" spans="1:5" x14ac:dyDescent="0.25">
      <c r="A54" s="4">
        <v>52</v>
      </c>
      <c r="B54" s="10" t="s">
        <v>16</v>
      </c>
      <c r="C54" s="6">
        <v>2551000</v>
      </c>
      <c r="D54" s="6">
        <v>2849810</v>
      </c>
      <c r="E54" s="6">
        <f t="shared" si="0"/>
        <v>298810</v>
      </c>
    </row>
    <row r="55" spans="1:5" x14ac:dyDescent="0.25">
      <c r="A55" s="4">
        <v>53</v>
      </c>
      <c r="B55" s="10" t="s">
        <v>10</v>
      </c>
      <c r="C55" s="6">
        <v>22000000</v>
      </c>
      <c r="D55" s="6">
        <v>22230000</v>
      </c>
      <c r="E55" s="6">
        <f t="shared" si="0"/>
        <v>230000</v>
      </c>
    </row>
    <row r="56" spans="1:5" x14ac:dyDescent="0.25">
      <c r="A56" s="4">
        <v>54</v>
      </c>
      <c r="B56" s="10" t="s">
        <v>33</v>
      </c>
      <c r="C56" s="6">
        <v>2500000</v>
      </c>
      <c r="D56" s="6">
        <v>2745500</v>
      </c>
      <c r="E56" s="6">
        <f t="shared" si="0"/>
        <v>245500</v>
      </c>
    </row>
    <row r="57" spans="1:5" x14ac:dyDescent="0.25">
      <c r="A57" s="4">
        <v>55</v>
      </c>
      <c r="B57" s="12" t="s">
        <v>26</v>
      </c>
      <c r="C57" s="6">
        <v>1550000</v>
      </c>
      <c r="D57" s="6">
        <v>1710000</v>
      </c>
      <c r="E57" s="6">
        <f t="shared" si="0"/>
        <v>160000</v>
      </c>
    </row>
    <row r="58" spans="1:5" x14ac:dyDescent="0.25">
      <c r="A58" s="4">
        <v>56</v>
      </c>
      <c r="B58" s="10" t="s">
        <v>26</v>
      </c>
      <c r="C58" s="6">
        <v>1500000</v>
      </c>
      <c r="D58" s="6">
        <v>1710000</v>
      </c>
      <c r="E58" s="6">
        <f t="shared" si="0"/>
        <v>210000</v>
      </c>
    </row>
    <row r="59" spans="1:5" x14ac:dyDescent="0.25">
      <c r="A59" s="4">
        <v>57</v>
      </c>
      <c r="B59" s="10" t="s">
        <v>26</v>
      </c>
      <c r="C59" s="6">
        <v>1400000</v>
      </c>
      <c r="D59" s="6">
        <v>1748000</v>
      </c>
      <c r="E59" s="6">
        <f t="shared" si="0"/>
        <v>348000</v>
      </c>
    </row>
    <row r="60" spans="1:5" x14ac:dyDescent="0.25">
      <c r="A60" s="4">
        <v>58</v>
      </c>
      <c r="B60" s="10" t="s">
        <v>33</v>
      </c>
      <c r="C60" s="6">
        <v>2600000</v>
      </c>
      <c r="D60" s="6">
        <v>2679000</v>
      </c>
      <c r="E60" s="6">
        <f t="shared" si="0"/>
        <v>79000</v>
      </c>
    </row>
    <row r="61" spans="1:5" x14ac:dyDescent="0.25">
      <c r="A61" s="4">
        <v>59</v>
      </c>
      <c r="B61" s="10" t="s">
        <v>20</v>
      </c>
      <c r="C61" s="6">
        <v>500000</v>
      </c>
      <c r="D61" s="6">
        <v>617499</v>
      </c>
      <c r="E61" s="6">
        <f t="shared" si="0"/>
        <v>117499</v>
      </c>
    </row>
    <row r="62" spans="1:5" x14ac:dyDescent="0.25">
      <c r="A62" s="4">
        <v>60</v>
      </c>
      <c r="B62" s="10" t="s">
        <v>20</v>
      </c>
      <c r="C62" s="6">
        <v>476000</v>
      </c>
      <c r="D62" s="6">
        <v>622777</v>
      </c>
      <c r="E62" s="6">
        <f t="shared" si="0"/>
        <v>146777</v>
      </c>
    </row>
    <row r="63" spans="1:5" x14ac:dyDescent="0.25">
      <c r="A63" s="4">
        <v>61</v>
      </c>
      <c r="B63" s="10" t="s">
        <v>20</v>
      </c>
      <c r="C63" s="6">
        <v>440000</v>
      </c>
      <c r="D63" s="6">
        <v>621721</v>
      </c>
      <c r="E63" s="6">
        <f t="shared" si="0"/>
        <v>181721</v>
      </c>
    </row>
    <row r="64" spans="1:5" x14ac:dyDescent="0.25">
      <c r="A64" s="4">
        <v>62</v>
      </c>
      <c r="B64" s="10" t="s">
        <v>20</v>
      </c>
      <c r="C64" s="6">
        <v>500000</v>
      </c>
      <c r="D64" s="6">
        <v>621721</v>
      </c>
      <c r="E64" s="6">
        <f t="shared" si="0"/>
        <v>121721</v>
      </c>
    </row>
    <row r="65" spans="1:5" x14ac:dyDescent="0.25">
      <c r="A65" s="4">
        <v>63</v>
      </c>
      <c r="B65" s="10" t="s">
        <v>20</v>
      </c>
      <c r="C65" s="6">
        <v>520000</v>
      </c>
      <c r="D65" s="6">
        <v>622777</v>
      </c>
      <c r="E65" s="6">
        <f t="shared" si="0"/>
        <v>102777</v>
      </c>
    </row>
    <row r="66" spans="1:5" x14ac:dyDescent="0.25">
      <c r="A66" s="4">
        <v>64</v>
      </c>
      <c r="B66" s="10" t="s">
        <v>20</v>
      </c>
      <c r="C66" s="6">
        <v>500000</v>
      </c>
      <c r="D66" s="6">
        <v>622777</v>
      </c>
      <c r="E66" s="6">
        <f t="shared" si="0"/>
        <v>122777</v>
      </c>
    </row>
    <row r="67" spans="1:5" x14ac:dyDescent="0.25">
      <c r="A67" s="4">
        <v>65</v>
      </c>
      <c r="B67" s="10" t="s">
        <v>20</v>
      </c>
      <c r="C67" s="6">
        <v>450000</v>
      </c>
      <c r="D67" s="6">
        <v>623277</v>
      </c>
      <c r="E67" s="6">
        <f t="shared" si="0"/>
        <v>173277</v>
      </c>
    </row>
    <row r="68" spans="1:5" x14ac:dyDescent="0.25">
      <c r="A68" s="4">
        <v>66</v>
      </c>
      <c r="B68" s="10" t="s">
        <v>20</v>
      </c>
      <c r="C68" s="6">
        <v>400000</v>
      </c>
      <c r="D68" s="6">
        <v>632277</v>
      </c>
      <c r="E68" s="6">
        <f t="shared" si="0"/>
        <v>232277</v>
      </c>
    </row>
    <row r="69" spans="1:5" x14ac:dyDescent="0.25">
      <c r="A69" s="4">
        <v>67</v>
      </c>
      <c r="B69" s="10" t="s">
        <v>20</v>
      </c>
      <c r="C69" s="6">
        <v>450000</v>
      </c>
      <c r="D69" s="6">
        <v>622777</v>
      </c>
      <c r="E69" s="6">
        <f t="shared" si="0"/>
        <v>172777</v>
      </c>
    </row>
    <row r="70" spans="1:5" x14ac:dyDescent="0.25">
      <c r="A70" s="4">
        <v>68</v>
      </c>
      <c r="B70" s="10" t="s">
        <v>20</v>
      </c>
      <c r="C70" s="6">
        <v>500000</v>
      </c>
      <c r="D70" s="6">
        <v>622567</v>
      </c>
      <c r="E70" s="6">
        <f t="shared" si="0"/>
        <v>122567</v>
      </c>
    </row>
    <row r="71" spans="1:5" x14ac:dyDescent="0.25">
      <c r="A71" s="4">
        <v>69</v>
      </c>
      <c r="B71" s="10" t="s">
        <v>20</v>
      </c>
      <c r="C71" s="6">
        <v>450000</v>
      </c>
      <c r="D71" s="6">
        <v>632171</v>
      </c>
      <c r="E71" s="6">
        <f t="shared" si="0"/>
        <v>182171</v>
      </c>
    </row>
    <row r="72" spans="1:5" x14ac:dyDescent="0.25">
      <c r="A72" s="4">
        <v>70</v>
      </c>
      <c r="B72" s="10" t="s">
        <v>20</v>
      </c>
      <c r="C72" s="6">
        <v>399999</v>
      </c>
      <c r="D72" s="6">
        <v>663944</v>
      </c>
      <c r="E72" s="6">
        <f t="shared" si="0"/>
        <v>263945</v>
      </c>
    </row>
    <row r="73" spans="1:5" x14ac:dyDescent="0.25">
      <c r="A73" s="4">
        <v>71</v>
      </c>
      <c r="B73" s="10" t="s">
        <v>20</v>
      </c>
      <c r="C73" s="6">
        <v>450000</v>
      </c>
      <c r="D73" s="6">
        <v>665500</v>
      </c>
      <c r="E73" s="6">
        <f t="shared" si="0"/>
        <v>215500</v>
      </c>
    </row>
    <row r="74" spans="1:5" x14ac:dyDescent="0.25">
      <c r="A74" s="4">
        <v>72</v>
      </c>
      <c r="B74" s="10" t="s">
        <v>20</v>
      </c>
      <c r="C74" s="6">
        <v>500000</v>
      </c>
      <c r="D74" s="6">
        <v>665000</v>
      </c>
      <c r="E74" s="6">
        <f t="shared" si="0"/>
        <v>165000</v>
      </c>
    </row>
    <row r="75" spans="1:5" x14ac:dyDescent="0.25">
      <c r="A75" s="4">
        <v>73</v>
      </c>
      <c r="B75" s="10" t="s">
        <v>20</v>
      </c>
      <c r="C75" s="6">
        <v>510000</v>
      </c>
      <c r="D75" s="6">
        <v>665000</v>
      </c>
      <c r="E75" s="6">
        <f t="shared" si="0"/>
        <v>155000</v>
      </c>
    </row>
    <row r="76" spans="1:5" x14ac:dyDescent="0.25">
      <c r="A76" s="4">
        <v>74</v>
      </c>
      <c r="B76" s="10" t="s">
        <v>31</v>
      </c>
      <c r="C76" s="6">
        <v>650000</v>
      </c>
      <c r="D76" s="6">
        <v>817000</v>
      </c>
      <c r="E76" s="6">
        <f t="shared" si="0"/>
        <v>167000</v>
      </c>
    </row>
    <row r="77" spans="1:5" x14ac:dyDescent="0.25">
      <c r="A77" s="4">
        <v>75</v>
      </c>
      <c r="B77" s="10" t="s">
        <v>31</v>
      </c>
      <c r="C77" s="6">
        <v>660000</v>
      </c>
      <c r="D77" s="6">
        <v>821750</v>
      </c>
      <c r="E77" s="6">
        <f t="shared" si="0"/>
        <v>161750</v>
      </c>
    </row>
    <row r="78" spans="1:5" x14ac:dyDescent="0.25">
      <c r="A78" s="4">
        <v>76</v>
      </c>
      <c r="B78" s="10" t="s">
        <v>31</v>
      </c>
      <c r="C78" s="6">
        <v>620000</v>
      </c>
      <c r="D78" s="6">
        <v>817000</v>
      </c>
      <c r="E78" s="6">
        <f t="shared" si="0"/>
        <v>197000</v>
      </c>
    </row>
    <row r="79" spans="1:5" x14ac:dyDescent="0.25">
      <c r="A79" s="4">
        <v>77</v>
      </c>
      <c r="B79" s="10" t="s">
        <v>31</v>
      </c>
      <c r="C79" s="6">
        <v>650000</v>
      </c>
      <c r="D79" s="6">
        <v>825550</v>
      </c>
      <c r="E79" s="6">
        <f t="shared" si="0"/>
        <v>175550</v>
      </c>
    </row>
    <row r="80" spans="1:5" x14ac:dyDescent="0.25">
      <c r="A80" s="4">
        <v>78</v>
      </c>
      <c r="B80" s="10" t="s">
        <v>31</v>
      </c>
      <c r="C80" s="6">
        <v>680000</v>
      </c>
      <c r="D80" s="6">
        <v>853765</v>
      </c>
      <c r="E80" s="6">
        <f t="shared" si="0"/>
        <v>173765</v>
      </c>
    </row>
    <row r="81" spans="1:5" x14ac:dyDescent="0.25">
      <c r="A81" s="4">
        <v>79</v>
      </c>
      <c r="B81" s="10" t="s">
        <v>31</v>
      </c>
      <c r="C81" s="6">
        <v>650000</v>
      </c>
      <c r="D81" s="6">
        <v>850778</v>
      </c>
      <c r="E81" s="6">
        <f t="shared" si="0"/>
        <v>200778</v>
      </c>
    </row>
    <row r="82" spans="1:5" x14ac:dyDescent="0.25">
      <c r="A82" s="4">
        <v>80</v>
      </c>
      <c r="B82" s="10" t="s">
        <v>31</v>
      </c>
      <c r="C82" s="6">
        <v>700000</v>
      </c>
      <c r="D82" s="6">
        <v>807500</v>
      </c>
      <c r="E82" s="6">
        <f t="shared" si="0"/>
        <v>107500</v>
      </c>
    </row>
    <row r="83" spans="1:5" x14ac:dyDescent="0.25">
      <c r="A83" s="4">
        <v>81</v>
      </c>
      <c r="B83" s="10" t="s">
        <v>31</v>
      </c>
      <c r="C83" s="6">
        <v>620000</v>
      </c>
      <c r="D83" s="6">
        <v>853860</v>
      </c>
      <c r="E83" s="6">
        <f t="shared" si="0"/>
        <v>233860</v>
      </c>
    </row>
    <row r="84" spans="1:5" x14ac:dyDescent="0.25">
      <c r="A84" s="4">
        <v>82</v>
      </c>
      <c r="B84" s="10" t="s">
        <v>31</v>
      </c>
      <c r="C84" s="6">
        <v>630000</v>
      </c>
      <c r="D84" s="6">
        <v>852625</v>
      </c>
      <c r="E84" s="6">
        <f t="shared" si="0"/>
        <v>222625</v>
      </c>
    </row>
    <row r="85" spans="1:5" x14ac:dyDescent="0.25">
      <c r="A85" s="4">
        <v>83</v>
      </c>
      <c r="B85" s="10" t="s">
        <v>31</v>
      </c>
      <c r="C85" s="6">
        <v>650000</v>
      </c>
      <c r="D85" s="6">
        <v>853839</v>
      </c>
      <c r="E85" s="6">
        <f t="shared" si="0"/>
        <v>203839</v>
      </c>
    </row>
    <row r="86" spans="1:5" x14ac:dyDescent="0.25">
      <c r="A86" s="4">
        <v>84</v>
      </c>
      <c r="B86" s="10" t="s">
        <v>31</v>
      </c>
      <c r="C86" s="6">
        <v>629999</v>
      </c>
      <c r="D86" s="6">
        <v>854999</v>
      </c>
      <c r="E86" s="6">
        <f t="shared" si="0"/>
        <v>225000</v>
      </c>
    </row>
    <row r="87" spans="1:5" x14ac:dyDescent="0.25">
      <c r="A87" s="4">
        <v>85</v>
      </c>
      <c r="B87" s="10" t="s">
        <v>31</v>
      </c>
      <c r="C87" s="6">
        <v>629999</v>
      </c>
      <c r="D87" s="6">
        <v>854990</v>
      </c>
      <c r="E87" s="6">
        <f t="shared" si="0"/>
        <v>224991</v>
      </c>
    </row>
    <row r="88" spans="1:5" x14ac:dyDescent="0.25">
      <c r="A88" s="4">
        <v>86</v>
      </c>
      <c r="B88" s="4" t="s">
        <v>34</v>
      </c>
      <c r="C88" s="6">
        <v>5700000</v>
      </c>
      <c r="D88" s="6">
        <v>5699999</v>
      </c>
      <c r="E88" s="6">
        <f t="shared" si="0"/>
        <v>-1</v>
      </c>
    </row>
    <row r="89" spans="1:5" x14ac:dyDescent="0.25">
      <c r="A89" s="4">
        <v>87</v>
      </c>
      <c r="B89" s="4" t="s">
        <v>34</v>
      </c>
      <c r="C89" s="6">
        <v>5600000</v>
      </c>
      <c r="D89" s="6">
        <v>5700000</v>
      </c>
      <c r="E89" s="6">
        <f t="shared" si="0"/>
        <v>100000</v>
      </c>
    </row>
    <row r="90" spans="1:5" x14ac:dyDescent="0.25">
      <c r="A90" s="4">
        <v>88</v>
      </c>
      <c r="B90" s="4" t="s">
        <v>34</v>
      </c>
      <c r="C90" s="6">
        <v>5555555</v>
      </c>
      <c r="D90" s="6">
        <v>5700000</v>
      </c>
      <c r="E90" s="6">
        <f t="shared" si="0"/>
        <v>144445</v>
      </c>
    </row>
    <row r="91" spans="1:5" x14ac:dyDescent="0.25">
      <c r="A91" s="4">
        <v>89</v>
      </c>
      <c r="B91" s="4" t="s">
        <v>33</v>
      </c>
      <c r="C91" s="6">
        <v>2600000</v>
      </c>
      <c r="D91" s="6">
        <v>2745500</v>
      </c>
      <c r="E91" s="6">
        <f t="shared" si="0"/>
        <v>145500</v>
      </c>
    </row>
    <row r="92" spans="1:5" x14ac:dyDescent="0.25">
      <c r="A92" s="4">
        <v>90</v>
      </c>
      <c r="B92" s="4" t="s">
        <v>33</v>
      </c>
      <c r="C92" s="6">
        <v>2600000</v>
      </c>
      <c r="D92" s="6">
        <v>2745500</v>
      </c>
      <c r="E92" s="6">
        <f t="shared" si="0"/>
        <v>145500</v>
      </c>
    </row>
    <row r="93" spans="1:5" x14ac:dyDescent="0.25">
      <c r="A93" s="4">
        <v>91</v>
      </c>
      <c r="B93" s="4" t="s">
        <v>33</v>
      </c>
      <c r="C93" s="6">
        <v>2600000</v>
      </c>
      <c r="D93" s="6">
        <v>2745500</v>
      </c>
      <c r="E93" s="6">
        <f t="shared" ref="E93:E159" si="1">D93-C93</f>
        <v>145500</v>
      </c>
    </row>
    <row r="94" spans="1:5" x14ac:dyDescent="0.25">
      <c r="A94" s="4">
        <v>92</v>
      </c>
      <c r="B94" s="4" t="s">
        <v>33</v>
      </c>
      <c r="C94" s="6">
        <v>2600000</v>
      </c>
      <c r="D94" s="6">
        <v>2745500</v>
      </c>
      <c r="E94" s="6">
        <f t="shared" si="1"/>
        <v>145500</v>
      </c>
    </row>
    <row r="95" spans="1:5" x14ac:dyDescent="0.25">
      <c r="A95" s="4">
        <v>93</v>
      </c>
      <c r="B95" s="4" t="s">
        <v>33</v>
      </c>
      <c r="C95" s="6">
        <v>2600000</v>
      </c>
      <c r="D95" s="6">
        <v>2754050</v>
      </c>
      <c r="E95" s="6">
        <f t="shared" si="1"/>
        <v>154050</v>
      </c>
    </row>
    <row r="96" spans="1:5" x14ac:dyDescent="0.25">
      <c r="A96" s="4">
        <v>94</v>
      </c>
      <c r="B96" s="4" t="s">
        <v>33</v>
      </c>
      <c r="C96" s="6">
        <v>2600000</v>
      </c>
      <c r="D96" s="6">
        <v>2754050</v>
      </c>
      <c r="E96" s="6">
        <f t="shared" si="1"/>
        <v>154050</v>
      </c>
    </row>
    <row r="97" spans="1:5" x14ac:dyDescent="0.25">
      <c r="A97" s="4">
        <v>95</v>
      </c>
      <c r="B97" s="4" t="s">
        <v>35</v>
      </c>
      <c r="C97" s="6">
        <v>999999</v>
      </c>
      <c r="D97" s="6">
        <v>1178000</v>
      </c>
      <c r="E97" s="6">
        <f t="shared" si="1"/>
        <v>178001</v>
      </c>
    </row>
    <row r="98" spans="1:5" x14ac:dyDescent="0.25">
      <c r="A98" s="4">
        <v>96</v>
      </c>
      <c r="B98" s="4" t="s">
        <v>6</v>
      </c>
      <c r="C98" s="6">
        <v>7600000</v>
      </c>
      <c r="D98" s="6">
        <v>7600000</v>
      </c>
      <c r="E98" s="6">
        <f t="shared" si="1"/>
        <v>0</v>
      </c>
    </row>
    <row r="99" spans="1:5" x14ac:dyDescent="0.25">
      <c r="A99" s="4">
        <v>97</v>
      </c>
      <c r="B99" s="4" t="s">
        <v>6</v>
      </c>
      <c r="C99" s="6">
        <v>7600000</v>
      </c>
      <c r="D99" s="6">
        <v>7800000</v>
      </c>
      <c r="E99" s="6">
        <f t="shared" si="1"/>
        <v>200000</v>
      </c>
    </row>
    <row r="100" spans="1:5" x14ac:dyDescent="0.25">
      <c r="A100" s="4">
        <v>98</v>
      </c>
      <c r="B100" s="4" t="s">
        <v>6</v>
      </c>
      <c r="C100" s="6">
        <v>7600000</v>
      </c>
      <c r="D100" s="6">
        <v>7800000</v>
      </c>
      <c r="E100" s="6">
        <f t="shared" si="1"/>
        <v>200000</v>
      </c>
    </row>
    <row r="101" spans="1:5" x14ac:dyDescent="0.25">
      <c r="A101" s="4">
        <v>99</v>
      </c>
      <c r="B101" s="10" t="s">
        <v>16</v>
      </c>
      <c r="C101" s="6">
        <v>2500000</v>
      </c>
      <c r="D101" s="6">
        <v>2849810</v>
      </c>
      <c r="E101" s="6">
        <f t="shared" si="1"/>
        <v>349810</v>
      </c>
    </row>
    <row r="102" spans="1:5" x14ac:dyDescent="0.25">
      <c r="A102" s="4">
        <v>100</v>
      </c>
      <c r="B102" s="10" t="s">
        <v>16</v>
      </c>
      <c r="C102" s="6">
        <v>2500000</v>
      </c>
      <c r="D102" s="6">
        <v>2849810</v>
      </c>
      <c r="E102" s="6">
        <f t="shared" si="1"/>
        <v>349810</v>
      </c>
    </row>
    <row r="103" spans="1:5" x14ac:dyDescent="0.25">
      <c r="A103" s="4">
        <v>101</v>
      </c>
      <c r="B103" s="10" t="s">
        <v>16</v>
      </c>
      <c r="C103" s="6">
        <v>2600000</v>
      </c>
      <c r="D103" s="6">
        <v>2849810</v>
      </c>
      <c r="E103" s="6">
        <f t="shared" si="1"/>
        <v>249810</v>
      </c>
    </row>
    <row r="104" spans="1:5" x14ac:dyDescent="0.25">
      <c r="A104" s="4">
        <v>102</v>
      </c>
      <c r="B104" s="10" t="s">
        <v>16</v>
      </c>
      <c r="C104" s="6">
        <v>2600000</v>
      </c>
      <c r="D104" s="6">
        <v>2850000</v>
      </c>
      <c r="E104" s="6">
        <f t="shared" si="1"/>
        <v>250000</v>
      </c>
    </row>
    <row r="105" spans="1:5" x14ac:dyDescent="0.25">
      <c r="A105" s="4">
        <v>103</v>
      </c>
      <c r="B105" s="10" t="s">
        <v>16</v>
      </c>
      <c r="C105" s="6">
        <v>2600000</v>
      </c>
      <c r="D105" s="6">
        <v>2850000</v>
      </c>
      <c r="E105" s="6">
        <f t="shared" si="1"/>
        <v>250000</v>
      </c>
    </row>
    <row r="106" spans="1:5" x14ac:dyDescent="0.25">
      <c r="A106" s="4">
        <v>104</v>
      </c>
      <c r="B106" s="10" t="s">
        <v>16</v>
      </c>
      <c r="C106" s="6">
        <v>2600000</v>
      </c>
      <c r="D106" s="6">
        <v>2850000</v>
      </c>
      <c r="E106" s="6">
        <f t="shared" si="1"/>
        <v>250000</v>
      </c>
    </row>
    <row r="107" spans="1:5" x14ac:dyDescent="0.25">
      <c r="A107" s="4">
        <v>105</v>
      </c>
      <c r="B107" s="4" t="s">
        <v>23</v>
      </c>
      <c r="C107" s="6">
        <v>3500000</v>
      </c>
      <c r="D107" s="6">
        <v>3657500</v>
      </c>
      <c r="E107" s="6">
        <f t="shared" si="1"/>
        <v>157500</v>
      </c>
    </row>
    <row r="108" spans="1:5" x14ac:dyDescent="0.25">
      <c r="A108" s="4">
        <v>106</v>
      </c>
      <c r="B108" s="4" t="s">
        <v>23</v>
      </c>
      <c r="C108" s="6">
        <v>3500000</v>
      </c>
      <c r="D108" s="6">
        <v>3657500</v>
      </c>
      <c r="E108" s="6">
        <f t="shared" si="1"/>
        <v>157500</v>
      </c>
    </row>
    <row r="109" spans="1:5" x14ac:dyDescent="0.25">
      <c r="A109" s="4">
        <v>107</v>
      </c>
      <c r="B109" s="4" t="s">
        <v>23</v>
      </c>
      <c r="C109" s="6">
        <v>3250000</v>
      </c>
      <c r="D109" s="6">
        <v>3705000</v>
      </c>
      <c r="E109" s="6">
        <f t="shared" si="1"/>
        <v>455000</v>
      </c>
    </row>
    <row r="110" spans="1:5" x14ac:dyDescent="0.25">
      <c r="A110" s="4">
        <v>108</v>
      </c>
      <c r="B110" s="4" t="s">
        <v>36</v>
      </c>
      <c r="C110" s="6">
        <v>375000</v>
      </c>
      <c r="D110" s="6">
        <v>463600</v>
      </c>
      <c r="E110" s="6">
        <f t="shared" si="1"/>
        <v>88600</v>
      </c>
    </row>
    <row r="111" spans="1:5" x14ac:dyDescent="0.25">
      <c r="A111" s="4">
        <v>109</v>
      </c>
      <c r="B111" s="4" t="s">
        <v>14</v>
      </c>
      <c r="C111" s="6">
        <v>999999</v>
      </c>
      <c r="D111" s="6">
        <v>1130500</v>
      </c>
      <c r="E111" s="6">
        <f t="shared" si="1"/>
        <v>130501</v>
      </c>
    </row>
    <row r="112" spans="1:5" x14ac:dyDescent="0.25">
      <c r="A112" s="4">
        <v>110</v>
      </c>
      <c r="B112" s="4" t="s">
        <v>7</v>
      </c>
      <c r="C112" s="6">
        <v>12300000</v>
      </c>
      <c r="D112" s="6">
        <v>12349999</v>
      </c>
      <c r="E112" s="6">
        <f t="shared" si="1"/>
        <v>49999</v>
      </c>
    </row>
    <row r="113" spans="1:5" x14ac:dyDescent="0.25">
      <c r="A113" s="4">
        <v>111</v>
      </c>
      <c r="B113" s="4" t="s">
        <v>37</v>
      </c>
      <c r="C113" s="6">
        <v>800000</v>
      </c>
      <c r="D113" s="6">
        <v>844443</v>
      </c>
      <c r="E113" s="6">
        <f t="shared" si="1"/>
        <v>44443</v>
      </c>
    </row>
    <row r="114" spans="1:5" x14ac:dyDescent="0.25">
      <c r="A114" s="4">
        <v>112</v>
      </c>
      <c r="B114" s="4" t="s">
        <v>37</v>
      </c>
      <c r="C114" s="6">
        <v>800000</v>
      </c>
      <c r="D114" s="6">
        <v>855000</v>
      </c>
      <c r="E114" s="6">
        <f t="shared" si="1"/>
        <v>55000</v>
      </c>
    </row>
    <row r="115" spans="1:5" x14ac:dyDescent="0.25">
      <c r="A115" s="4">
        <v>113</v>
      </c>
      <c r="B115" s="4" t="s">
        <v>21</v>
      </c>
      <c r="C115" s="6">
        <v>750000</v>
      </c>
      <c r="D115" s="6">
        <v>902500</v>
      </c>
      <c r="E115" s="6">
        <f t="shared" si="1"/>
        <v>152500</v>
      </c>
    </row>
    <row r="116" spans="1:5" x14ac:dyDescent="0.25">
      <c r="A116" s="4">
        <v>114</v>
      </c>
      <c r="B116" s="4" t="s">
        <v>21</v>
      </c>
      <c r="C116" s="6">
        <v>850000</v>
      </c>
      <c r="D116" s="6">
        <v>902500</v>
      </c>
      <c r="E116" s="6">
        <f t="shared" si="1"/>
        <v>52500</v>
      </c>
    </row>
    <row r="117" spans="1:5" x14ac:dyDescent="0.25">
      <c r="A117" s="4">
        <v>115</v>
      </c>
      <c r="B117" s="4" t="s">
        <v>21</v>
      </c>
      <c r="C117" s="6">
        <v>750000</v>
      </c>
      <c r="D117" s="6">
        <v>902500</v>
      </c>
      <c r="E117" s="6">
        <f t="shared" si="1"/>
        <v>152500</v>
      </c>
    </row>
    <row r="118" spans="1:5" x14ac:dyDescent="0.25">
      <c r="A118" s="4">
        <v>116</v>
      </c>
      <c r="B118" s="4" t="s">
        <v>21</v>
      </c>
      <c r="C118" s="6">
        <v>888888</v>
      </c>
      <c r="D118" s="6">
        <v>902500</v>
      </c>
      <c r="E118" s="6">
        <f t="shared" si="1"/>
        <v>13612</v>
      </c>
    </row>
    <row r="119" spans="1:5" x14ac:dyDescent="0.25">
      <c r="A119" s="4">
        <v>117</v>
      </c>
      <c r="B119" s="4" t="s">
        <v>21</v>
      </c>
      <c r="C119" s="6">
        <v>800000</v>
      </c>
      <c r="D119" s="6">
        <v>902500</v>
      </c>
      <c r="E119" s="6">
        <f t="shared" si="1"/>
        <v>102500</v>
      </c>
    </row>
    <row r="120" spans="1:5" x14ac:dyDescent="0.25">
      <c r="A120" s="4">
        <v>118</v>
      </c>
      <c r="B120" s="4" t="s">
        <v>28</v>
      </c>
      <c r="C120" s="6">
        <v>1350000</v>
      </c>
      <c r="D120" s="6">
        <v>1425000</v>
      </c>
      <c r="E120" s="6">
        <f t="shared" si="1"/>
        <v>75000</v>
      </c>
    </row>
    <row r="121" spans="1:5" x14ac:dyDescent="0.25">
      <c r="A121" s="4">
        <v>119</v>
      </c>
      <c r="B121" s="4" t="s">
        <v>28</v>
      </c>
      <c r="C121" s="6">
        <v>1350000</v>
      </c>
      <c r="D121" s="6">
        <v>1424999</v>
      </c>
      <c r="E121" s="6">
        <f t="shared" si="1"/>
        <v>74999</v>
      </c>
    </row>
    <row r="122" spans="1:5" x14ac:dyDescent="0.25">
      <c r="A122" s="4">
        <v>120</v>
      </c>
      <c r="B122" s="4" t="s">
        <v>28</v>
      </c>
      <c r="C122" s="6">
        <v>1350000</v>
      </c>
      <c r="D122" s="6">
        <v>1424999</v>
      </c>
      <c r="E122" s="6">
        <f t="shared" si="1"/>
        <v>74999</v>
      </c>
    </row>
    <row r="123" spans="1:5" x14ac:dyDescent="0.25">
      <c r="A123" s="4">
        <v>121</v>
      </c>
      <c r="B123" s="4" t="s">
        <v>26</v>
      </c>
      <c r="C123" s="6">
        <v>1400000</v>
      </c>
      <c r="D123" s="6">
        <v>1709999</v>
      </c>
      <c r="E123" s="6">
        <f t="shared" si="1"/>
        <v>309999</v>
      </c>
    </row>
    <row r="124" spans="1:5" x14ac:dyDescent="0.25">
      <c r="A124" s="4">
        <v>122</v>
      </c>
      <c r="B124" s="4" t="s">
        <v>26</v>
      </c>
      <c r="C124" s="6">
        <v>1500000</v>
      </c>
      <c r="D124" s="6">
        <v>1748999</v>
      </c>
      <c r="E124" s="6">
        <f t="shared" si="1"/>
        <v>248999</v>
      </c>
    </row>
    <row r="125" spans="1:5" x14ac:dyDescent="0.25">
      <c r="A125" s="4">
        <v>123</v>
      </c>
      <c r="B125" s="4" t="s">
        <v>26</v>
      </c>
      <c r="C125" s="6">
        <v>1400000</v>
      </c>
      <c r="D125" s="6">
        <v>1747000</v>
      </c>
      <c r="E125" s="6">
        <f t="shared" si="1"/>
        <v>347000</v>
      </c>
    </row>
    <row r="126" spans="1:5" x14ac:dyDescent="0.25">
      <c r="A126" s="4">
        <v>124</v>
      </c>
      <c r="B126" s="4" t="s">
        <v>26</v>
      </c>
      <c r="C126" s="6">
        <v>1000000</v>
      </c>
      <c r="D126" s="6">
        <v>1641600</v>
      </c>
      <c r="E126" s="6">
        <f t="shared" si="1"/>
        <v>641600</v>
      </c>
    </row>
    <row r="127" spans="1:5" x14ac:dyDescent="0.25">
      <c r="A127" s="4">
        <v>125</v>
      </c>
      <c r="B127" s="4" t="s">
        <v>26</v>
      </c>
      <c r="C127" s="6">
        <v>1400000</v>
      </c>
      <c r="D127" s="6">
        <v>1710000</v>
      </c>
      <c r="E127" s="6">
        <f t="shared" si="1"/>
        <v>310000</v>
      </c>
    </row>
    <row r="128" spans="1:5" x14ac:dyDescent="0.25">
      <c r="A128" s="4">
        <v>126</v>
      </c>
      <c r="B128" s="4" t="s">
        <v>26</v>
      </c>
      <c r="C128" s="6">
        <v>1500000</v>
      </c>
      <c r="D128" s="6">
        <v>1710000</v>
      </c>
      <c r="E128" s="6">
        <f t="shared" si="1"/>
        <v>210000</v>
      </c>
    </row>
    <row r="129" spans="1:5" x14ac:dyDescent="0.25">
      <c r="A129" s="4">
        <v>127</v>
      </c>
      <c r="B129" s="4" t="s">
        <v>26</v>
      </c>
      <c r="C129" s="6">
        <v>1550000</v>
      </c>
      <c r="D129" s="6">
        <v>1710000</v>
      </c>
      <c r="E129" s="6">
        <f t="shared" si="1"/>
        <v>160000</v>
      </c>
    </row>
    <row r="130" spans="1:5" x14ac:dyDescent="0.25">
      <c r="A130" s="4">
        <v>128</v>
      </c>
      <c r="B130" s="4" t="s">
        <v>26</v>
      </c>
      <c r="C130" s="6">
        <v>1400000</v>
      </c>
      <c r="D130" s="6">
        <v>1710000</v>
      </c>
      <c r="E130" s="6">
        <f t="shared" si="1"/>
        <v>310000</v>
      </c>
    </row>
    <row r="131" spans="1:5" x14ac:dyDescent="0.25">
      <c r="A131" s="4">
        <v>129</v>
      </c>
      <c r="B131" s="4" t="s">
        <v>26</v>
      </c>
      <c r="C131" s="6">
        <v>1399999</v>
      </c>
      <c r="D131" s="6">
        <v>1710000</v>
      </c>
      <c r="E131" s="6">
        <f t="shared" si="1"/>
        <v>310001</v>
      </c>
    </row>
    <row r="132" spans="1:5" x14ac:dyDescent="0.25">
      <c r="A132" s="4">
        <v>130</v>
      </c>
      <c r="B132" s="4" t="s">
        <v>26</v>
      </c>
      <c r="C132" s="6">
        <v>1000000</v>
      </c>
      <c r="D132" s="6">
        <v>1710000</v>
      </c>
      <c r="E132" s="6">
        <f t="shared" si="1"/>
        <v>710000</v>
      </c>
    </row>
    <row r="133" spans="1:5" x14ac:dyDescent="0.25">
      <c r="A133" s="4">
        <v>131</v>
      </c>
      <c r="B133" s="4" t="s">
        <v>26</v>
      </c>
      <c r="C133" s="6">
        <v>1400000</v>
      </c>
      <c r="D133" s="6">
        <v>1697650</v>
      </c>
      <c r="E133" s="6">
        <f t="shared" si="1"/>
        <v>297650</v>
      </c>
    </row>
    <row r="134" spans="1:5" x14ac:dyDescent="0.25">
      <c r="A134" s="4">
        <v>132</v>
      </c>
      <c r="B134" s="4" t="s">
        <v>30</v>
      </c>
      <c r="C134" s="6">
        <v>1000000</v>
      </c>
      <c r="D134" s="6">
        <v>1140000</v>
      </c>
      <c r="E134" s="6">
        <f t="shared" si="1"/>
        <v>140000</v>
      </c>
    </row>
    <row r="135" spans="1:5" x14ac:dyDescent="0.25">
      <c r="A135" s="4">
        <v>133</v>
      </c>
      <c r="B135" s="4" t="s">
        <v>30</v>
      </c>
      <c r="C135" s="6">
        <v>999999</v>
      </c>
      <c r="D135" s="6">
        <v>1234905</v>
      </c>
      <c r="E135" s="6">
        <f t="shared" si="1"/>
        <v>234906</v>
      </c>
    </row>
    <row r="136" spans="1:5" x14ac:dyDescent="0.25">
      <c r="A136" s="4">
        <v>134</v>
      </c>
      <c r="B136" s="4" t="s">
        <v>30</v>
      </c>
      <c r="C136" s="6">
        <v>1075000</v>
      </c>
      <c r="D136" s="6">
        <v>1185505</v>
      </c>
      <c r="E136" s="6">
        <f t="shared" si="1"/>
        <v>110505</v>
      </c>
    </row>
    <row r="137" spans="1:5" x14ac:dyDescent="0.25">
      <c r="A137" s="4">
        <v>135</v>
      </c>
      <c r="B137" s="4" t="s">
        <v>23</v>
      </c>
      <c r="C137" s="6">
        <v>3500000</v>
      </c>
      <c r="D137" s="6">
        <v>3608005</v>
      </c>
      <c r="E137" s="6">
        <f t="shared" si="1"/>
        <v>108005</v>
      </c>
    </row>
    <row r="138" spans="1:5" x14ac:dyDescent="0.25">
      <c r="A138" s="4">
        <v>136</v>
      </c>
      <c r="B138" s="4" t="s">
        <v>13</v>
      </c>
      <c r="C138" s="6">
        <v>4100000</v>
      </c>
      <c r="D138" s="6">
        <v>4607500</v>
      </c>
      <c r="E138" s="6">
        <f t="shared" si="1"/>
        <v>507500</v>
      </c>
    </row>
    <row r="139" spans="1:5" x14ac:dyDescent="0.25">
      <c r="A139" s="4">
        <v>137</v>
      </c>
      <c r="B139" s="4" t="s">
        <v>30</v>
      </c>
      <c r="C139" s="6">
        <v>1050000</v>
      </c>
      <c r="D139" s="6">
        <v>1187500</v>
      </c>
      <c r="E139" s="6">
        <f t="shared" si="1"/>
        <v>137500</v>
      </c>
    </row>
    <row r="140" spans="1:5" x14ac:dyDescent="0.25">
      <c r="A140" s="4">
        <v>138</v>
      </c>
      <c r="B140" s="4" t="s">
        <v>37</v>
      </c>
      <c r="C140" s="6">
        <v>800000</v>
      </c>
      <c r="D140" s="6">
        <v>845500</v>
      </c>
      <c r="E140" s="6">
        <f t="shared" si="1"/>
        <v>45500</v>
      </c>
    </row>
    <row r="141" spans="1:5" x14ac:dyDescent="0.25">
      <c r="A141" s="4">
        <v>139</v>
      </c>
      <c r="B141" s="4" t="s">
        <v>34</v>
      </c>
      <c r="C141" s="6">
        <v>5666666</v>
      </c>
      <c r="D141" s="6">
        <v>5700000</v>
      </c>
      <c r="E141" s="6">
        <f t="shared" si="1"/>
        <v>33334</v>
      </c>
    </row>
    <row r="142" spans="1:5" x14ac:dyDescent="0.25">
      <c r="A142" s="4">
        <v>140</v>
      </c>
      <c r="B142" s="4" t="s">
        <v>28</v>
      </c>
      <c r="C142" s="6">
        <v>1250000</v>
      </c>
      <c r="D142" s="6">
        <v>1424998</v>
      </c>
      <c r="E142" s="6">
        <f t="shared" si="1"/>
        <v>174998</v>
      </c>
    </row>
    <row r="143" spans="1:5" x14ac:dyDescent="0.25">
      <c r="A143" s="4">
        <v>141</v>
      </c>
      <c r="B143" s="10" t="s">
        <v>16</v>
      </c>
      <c r="C143" s="6">
        <v>2500000</v>
      </c>
      <c r="D143" s="6">
        <v>2849810</v>
      </c>
      <c r="E143" s="6">
        <f t="shared" si="1"/>
        <v>349810</v>
      </c>
    </row>
    <row r="144" spans="1:5" x14ac:dyDescent="0.25">
      <c r="A144" s="4">
        <v>142</v>
      </c>
      <c r="B144" s="4" t="s">
        <v>27</v>
      </c>
      <c r="C144" s="6">
        <v>4888888</v>
      </c>
      <c r="D144" s="6">
        <v>5082500</v>
      </c>
      <c r="E144" s="6">
        <f t="shared" si="1"/>
        <v>193612</v>
      </c>
    </row>
    <row r="145" spans="1:5" x14ac:dyDescent="0.25">
      <c r="A145" s="4">
        <v>143</v>
      </c>
      <c r="B145" s="4" t="s">
        <v>27</v>
      </c>
      <c r="C145" s="6">
        <v>4888887</v>
      </c>
      <c r="D145" s="6">
        <v>5082500</v>
      </c>
      <c r="E145" s="6">
        <f t="shared" si="1"/>
        <v>193613</v>
      </c>
    </row>
    <row r="146" spans="1:5" x14ac:dyDescent="0.25">
      <c r="A146" s="4">
        <v>144</v>
      </c>
      <c r="B146" s="4" t="s">
        <v>27</v>
      </c>
      <c r="C146" s="6">
        <v>5000000</v>
      </c>
      <c r="D146" s="6">
        <v>5082500</v>
      </c>
      <c r="E146" s="6">
        <f t="shared" si="1"/>
        <v>82500</v>
      </c>
    </row>
    <row r="147" spans="1:5" x14ac:dyDescent="0.25">
      <c r="A147" s="4">
        <v>145</v>
      </c>
      <c r="B147" s="4" t="s">
        <v>23</v>
      </c>
      <c r="C147" s="6">
        <v>3500000</v>
      </c>
      <c r="D147" s="6">
        <v>3608005</v>
      </c>
      <c r="E147" s="6">
        <f t="shared" si="1"/>
        <v>108005</v>
      </c>
    </row>
    <row r="148" spans="1:5" x14ac:dyDescent="0.25">
      <c r="A148" s="4">
        <v>146</v>
      </c>
      <c r="B148" s="4" t="s">
        <v>7</v>
      </c>
      <c r="C148" s="6">
        <v>12000000</v>
      </c>
      <c r="D148" s="6">
        <v>12500000</v>
      </c>
      <c r="E148" s="6">
        <f t="shared" si="1"/>
        <v>500000</v>
      </c>
    </row>
    <row r="149" spans="1:5" x14ac:dyDescent="0.25">
      <c r="A149" s="4">
        <v>147</v>
      </c>
      <c r="B149" s="4" t="s">
        <v>38</v>
      </c>
      <c r="C149" s="6">
        <v>1600000</v>
      </c>
      <c r="D149" s="6">
        <v>1900000</v>
      </c>
      <c r="E149" s="6">
        <f t="shared" si="1"/>
        <v>300000</v>
      </c>
    </row>
    <row r="150" spans="1:5" x14ac:dyDescent="0.25">
      <c r="A150" s="4">
        <v>148</v>
      </c>
      <c r="B150" s="4" t="s">
        <v>19</v>
      </c>
      <c r="C150" s="6">
        <v>700000</v>
      </c>
      <c r="D150" s="6">
        <v>902500</v>
      </c>
      <c r="E150" s="6">
        <f t="shared" si="1"/>
        <v>202500</v>
      </c>
    </row>
    <row r="151" spans="1:5" x14ac:dyDescent="0.25">
      <c r="A151" s="4">
        <v>149</v>
      </c>
      <c r="B151" s="4" t="s">
        <v>23</v>
      </c>
      <c r="C151" s="6">
        <v>3500000</v>
      </c>
      <c r="D151" s="6">
        <v>3705000</v>
      </c>
      <c r="E151" s="6">
        <f t="shared" si="1"/>
        <v>205000</v>
      </c>
    </row>
    <row r="152" spans="1:5" x14ac:dyDescent="0.25">
      <c r="A152" s="4">
        <v>150</v>
      </c>
      <c r="B152" s="10" t="s">
        <v>16</v>
      </c>
      <c r="C152" s="6">
        <v>2590000</v>
      </c>
      <c r="D152" s="6">
        <v>2850000</v>
      </c>
      <c r="E152" s="6">
        <f t="shared" si="1"/>
        <v>260000</v>
      </c>
    </row>
    <row r="153" spans="1:5" x14ac:dyDescent="0.25">
      <c r="A153" s="4">
        <v>151</v>
      </c>
      <c r="B153" s="4" t="s">
        <v>16</v>
      </c>
      <c r="C153" s="6">
        <v>2159999</v>
      </c>
      <c r="D153" s="6">
        <v>2802500</v>
      </c>
      <c r="E153" s="6">
        <f t="shared" si="1"/>
        <v>642501</v>
      </c>
    </row>
    <row r="154" spans="1:5" x14ac:dyDescent="0.25">
      <c r="A154" s="4">
        <v>152</v>
      </c>
      <c r="B154" s="4" t="s">
        <v>14</v>
      </c>
      <c r="C154" s="6">
        <v>1000000</v>
      </c>
      <c r="D154" s="6">
        <v>1234999</v>
      </c>
      <c r="E154" s="6">
        <f t="shared" si="1"/>
        <v>234999</v>
      </c>
    </row>
    <row r="155" spans="1:5" x14ac:dyDescent="0.25">
      <c r="A155" s="4">
        <v>153</v>
      </c>
      <c r="B155" s="4" t="s">
        <v>33</v>
      </c>
      <c r="C155" s="6">
        <v>2211111</v>
      </c>
      <c r="D155" s="6">
        <v>2754811</v>
      </c>
      <c r="E155" s="6">
        <f t="shared" si="1"/>
        <v>543700</v>
      </c>
    </row>
    <row r="156" spans="1:5" x14ac:dyDescent="0.25">
      <c r="A156" s="4">
        <v>154</v>
      </c>
      <c r="B156" s="4" t="s">
        <v>5</v>
      </c>
      <c r="C156" s="6">
        <v>7333333</v>
      </c>
      <c r="D156" s="6">
        <v>7600000</v>
      </c>
      <c r="E156" s="6">
        <f t="shared" si="1"/>
        <v>266667</v>
      </c>
    </row>
    <row r="157" spans="1:5" x14ac:dyDescent="0.25">
      <c r="A157" s="4">
        <v>155</v>
      </c>
      <c r="B157" s="10" t="s">
        <v>20</v>
      </c>
      <c r="C157" s="6">
        <v>500000</v>
      </c>
      <c r="D157" s="6">
        <v>646000</v>
      </c>
      <c r="E157" s="6">
        <f t="shared" si="1"/>
        <v>146000</v>
      </c>
    </row>
    <row r="158" spans="1:5" x14ac:dyDescent="0.25">
      <c r="A158" s="4">
        <v>156</v>
      </c>
      <c r="B158" s="4" t="s">
        <v>23</v>
      </c>
      <c r="C158" s="6">
        <v>3500000</v>
      </c>
      <c r="D158" s="6">
        <v>3657500</v>
      </c>
      <c r="E158" s="6">
        <f t="shared" si="1"/>
        <v>157500</v>
      </c>
    </row>
    <row r="159" spans="1:5" x14ac:dyDescent="0.25">
      <c r="A159" s="4">
        <v>157</v>
      </c>
      <c r="B159" s="10" t="s">
        <v>20</v>
      </c>
      <c r="C159" s="6">
        <v>500000</v>
      </c>
      <c r="D159" s="6">
        <v>655500</v>
      </c>
      <c r="E159" s="6">
        <f t="shared" si="1"/>
        <v>155500</v>
      </c>
    </row>
    <row r="160" spans="1:5" x14ac:dyDescent="0.25">
      <c r="A160" s="4">
        <v>158</v>
      </c>
      <c r="B160" s="10" t="s">
        <v>31</v>
      </c>
      <c r="C160" s="6">
        <v>650000</v>
      </c>
      <c r="D160" s="6">
        <v>855000</v>
      </c>
      <c r="E160" s="6">
        <f>D160-C160</f>
        <v>205000</v>
      </c>
    </row>
    <row r="161" spans="1:5" x14ac:dyDescent="0.25">
      <c r="A161" s="4">
        <v>159</v>
      </c>
      <c r="B161" s="4" t="s">
        <v>37</v>
      </c>
      <c r="C161" s="6">
        <v>700000</v>
      </c>
      <c r="D161" s="6">
        <v>883500</v>
      </c>
      <c r="E161" s="6">
        <f>D161-C161</f>
        <v>183500</v>
      </c>
    </row>
    <row r="162" spans="1:5" x14ac:dyDescent="0.25">
      <c r="A162" s="89" t="s">
        <v>8</v>
      </c>
      <c r="B162" s="89"/>
      <c r="C162" s="89"/>
      <c r="D162" s="89"/>
      <c r="E162" s="8">
        <v>0</v>
      </c>
    </row>
    <row r="163" spans="1:5" x14ac:dyDescent="0.25">
      <c r="A163" s="89" t="s">
        <v>9</v>
      </c>
      <c r="B163" s="89"/>
      <c r="C163" s="89"/>
      <c r="D163" s="89"/>
      <c r="E163" s="8">
        <f>SUM(E3:E161)-E162</f>
        <v>32656527</v>
      </c>
    </row>
  </sheetData>
  <autoFilter ref="A1:E163" xr:uid="{416FE367-7A24-4E0B-8A55-21F1AE1F0785}"/>
  <mergeCells count="3">
    <mergeCell ref="A163:D163"/>
    <mergeCell ref="A2:E2"/>
    <mergeCell ref="A162:D162"/>
  </mergeCells>
  <conditionalFormatting sqref="E1">
    <cfRule type="cellIs" dxfId="4" priority="3" operator="lessThan">
      <formula>0</formula>
    </cfRule>
  </conditionalFormatting>
  <conditionalFormatting sqref="E3:E163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AACBA-CF9F-48A9-B3ED-69FF9CAB9048}">
  <dimension ref="A1:E152"/>
  <sheetViews>
    <sheetView zoomScale="145" zoomScaleNormal="145"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7.85546875" style="4" bestFit="1" customWidth="1"/>
    <col min="2" max="2" width="38.5703125" style="4" bestFit="1" customWidth="1"/>
    <col min="3" max="3" width="21.140625" style="4" customWidth="1"/>
    <col min="4" max="4" width="14.85546875" style="4" customWidth="1"/>
    <col min="5" max="5" width="15" style="4" customWidth="1"/>
    <col min="6" max="16384" width="9.140625" style="4"/>
  </cols>
  <sheetData>
    <row r="1" spans="1:5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87">
        <v>46029</v>
      </c>
      <c r="B2" s="87"/>
      <c r="C2" s="87"/>
      <c r="D2" s="87"/>
      <c r="E2" s="87"/>
    </row>
    <row r="3" spans="1:5" x14ac:dyDescent="0.25">
      <c r="A3" s="4">
        <v>1</v>
      </c>
      <c r="B3" s="10" t="s">
        <v>7</v>
      </c>
      <c r="C3" s="13">
        <v>13000000</v>
      </c>
      <c r="D3" s="6">
        <v>13100499.049999999</v>
      </c>
      <c r="E3" s="6">
        <f t="shared" ref="E3:E66" si="0">D3-C3</f>
        <v>100499.04999999888</v>
      </c>
    </row>
    <row r="4" spans="1:5" x14ac:dyDescent="0.25">
      <c r="A4" s="4">
        <v>2</v>
      </c>
      <c r="B4" s="4" t="s">
        <v>7</v>
      </c>
      <c r="C4" s="5">
        <v>13100000</v>
      </c>
      <c r="D4" s="6">
        <v>12730000</v>
      </c>
      <c r="E4" s="6">
        <f t="shared" si="0"/>
        <v>-370000</v>
      </c>
    </row>
    <row r="5" spans="1:5" x14ac:dyDescent="0.25">
      <c r="A5" s="4">
        <v>3</v>
      </c>
      <c r="B5" s="4" t="s">
        <v>7</v>
      </c>
      <c r="C5" s="5">
        <v>13111111</v>
      </c>
      <c r="D5" s="6">
        <v>13100499.049999999</v>
      </c>
      <c r="E5" s="6">
        <f t="shared" si="0"/>
        <v>-10611.950000001118</v>
      </c>
    </row>
    <row r="6" spans="1:5" x14ac:dyDescent="0.25">
      <c r="A6" s="4">
        <v>4</v>
      </c>
      <c r="B6" s="4" t="s">
        <v>10</v>
      </c>
      <c r="C6" s="5">
        <v>22000000</v>
      </c>
      <c r="D6" s="6">
        <v>23000000</v>
      </c>
      <c r="E6" s="6">
        <f t="shared" si="0"/>
        <v>1000000</v>
      </c>
    </row>
    <row r="7" spans="1:5" x14ac:dyDescent="0.25">
      <c r="A7" s="4">
        <v>5</v>
      </c>
      <c r="B7" s="4" t="s">
        <v>7</v>
      </c>
      <c r="C7" s="5">
        <v>12500000</v>
      </c>
      <c r="D7" s="6">
        <v>13015302</v>
      </c>
      <c r="E7" s="6">
        <f t="shared" si="0"/>
        <v>515302</v>
      </c>
    </row>
    <row r="8" spans="1:5" x14ac:dyDescent="0.25">
      <c r="A8" s="4">
        <v>6</v>
      </c>
      <c r="B8" s="4" t="s">
        <v>11</v>
      </c>
      <c r="C8" s="5">
        <v>2800000</v>
      </c>
      <c r="D8" s="6">
        <v>3086548.0999999996</v>
      </c>
      <c r="E8" s="6">
        <f t="shared" si="0"/>
        <v>286548.09999999963</v>
      </c>
    </row>
    <row r="9" spans="1:5" x14ac:dyDescent="0.25">
      <c r="A9" s="4">
        <v>7</v>
      </c>
      <c r="B9" s="4" t="s">
        <v>7</v>
      </c>
      <c r="C9" s="5">
        <v>13000000</v>
      </c>
      <c r="D9" s="6">
        <v>13109999.049999999</v>
      </c>
      <c r="E9" s="6">
        <f t="shared" si="0"/>
        <v>109999.04999999888</v>
      </c>
    </row>
    <row r="10" spans="1:5" x14ac:dyDescent="0.25">
      <c r="A10" s="4">
        <v>8</v>
      </c>
      <c r="B10" s="4" t="s">
        <v>6</v>
      </c>
      <c r="C10" s="5">
        <v>8000000</v>
      </c>
      <c r="D10" s="6">
        <v>8167887.1999999993</v>
      </c>
      <c r="E10" s="6">
        <f t="shared" si="0"/>
        <v>167887.19999999925</v>
      </c>
    </row>
    <row r="11" spans="1:5" x14ac:dyDescent="0.25">
      <c r="A11" s="4">
        <v>9</v>
      </c>
      <c r="B11" s="4" t="s">
        <v>11</v>
      </c>
      <c r="C11" s="5">
        <v>3000000</v>
      </c>
      <c r="D11" s="6">
        <v>2850003</v>
      </c>
      <c r="E11" s="6">
        <f t="shared" si="0"/>
        <v>-149997</v>
      </c>
    </row>
    <row r="12" spans="1:5" x14ac:dyDescent="0.25">
      <c r="A12" s="4">
        <v>10</v>
      </c>
      <c r="B12" s="4" t="s">
        <v>7</v>
      </c>
      <c r="C12" s="5">
        <v>13000000</v>
      </c>
      <c r="D12" s="6">
        <v>13015000</v>
      </c>
      <c r="E12" s="6">
        <f t="shared" si="0"/>
        <v>15000</v>
      </c>
    </row>
    <row r="13" spans="1:5" x14ac:dyDescent="0.25">
      <c r="A13" s="4">
        <v>11</v>
      </c>
      <c r="B13" s="4" t="s">
        <v>7</v>
      </c>
      <c r="C13" s="5">
        <v>13000000</v>
      </c>
      <c r="D13" s="6">
        <v>12920000</v>
      </c>
      <c r="E13" s="6">
        <f t="shared" si="0"/>
        <v>-80000</v>
      </c>
    </row>
    <row r="14" spans="1:5" x14ac:dyDescent="0.25">
      <c r="A14" s="4">
        <v>12</v>
      </c>
      <c r="B14" s="4" t="s">
        <v>11</v>
      </c>
      <c r="C14" s="5">
        <v>2700000</v>
      </c>
      <c r="D14" s="6">
        <v>3086548.0999999996</v>
      </c>
      <c r="E14" s="6">
        <f t="shared" si="0"/>
        <v>386548.09999999963</v>
      </c>
    </row>
    <row r="15" spans="1:5" x14ac:dyDescent="0.25">
      <c r="A15" s="4">
        <v>13</v>
      </c>
      <c r="B15" s="4" t="s">
        <v>6</v>
      </c>
      <c r="C15" s="5">
        <v>8000000</v>
      </c>
      <c r="D15" s="6">
        <v>7790000</v>
      </c>
      <c r="E15" s="6">
        <f t="shared" si="0"/>
        <v>-210000</v>
      </c>
    </row>
    <row r="16" spans="1:5" x14ac:dyDescent="0.25">
      <c r="A16" s="4">
        <v>14</v>
      </c>
      <c r="B16" s="4" t="s">
        <v>5</v>
      </c>
      <c r="C16" s="5">
        <v>8300000</v>
      </c>
      <c r="D16" s="6">
        <v>8549999.0499999989</v>
      </c>
      <c r="E16" s="6">
        <f t="shared" si="0"/>
        <v>249999.04999999888</v>
      </c>
    </row>
    <row r="17" spans="1:5" x14ac:dyDescent="0.25">
      <c r="A17" s="4">
        <v>15</v>
      </c>
      <c r="B17" s="4" t="s">
        <v>6</v>
      </c>
      <c r="C17" s="5">
        <v>7950000</v>
      </c>
      <c r="D17" s="6">
        <v>7790000</v>
      </c>
      <c r="E17" s="6">
        <f t="shared" si="0"/>
        <v>-160000</v>
      </c>
    </row>
    <row r="18" spans="1:5" x14ac:dyDescent="0.25">
      <c r="A18" s="4">
        <v>16</v>
      </c>
      <c r="B18" s="4" t="s">
        <v>5</v>
      </c>
      <c r="C18" s="5">
        <v>8400000</v>
      </c>
      <c r="D18" s="6">
        <v>8549987.6500000004</v>
      </c>
      <c r="E18" s="6">
        <f t="shared" si="0"/>
        <v>149987.65000000037</v>
      </c>
    </row>
    <row r="19" spans="1:5" x14ac:dyDescent="0.25">
      <c r="A19" s="4">
        <v>17</v>
      </c>
      <c r="B19" s="4" t="s">
        <v>5</v>
      </c>
      <c r="C19" s="5">
        <v>8400000</v>
      </c>
      <c r="D19" s="6">
        <v>7600000</v>
      </c>
      <c r="E19" s="6">
        <f t="shared" si="0"/>
        <v>-800000</v>
      </c>
    </row>
    <row r="20" spans="1:5" x14ac:dyDescent="0.25">
      <c r="A20" s="4">
        <v>18</v>
      </c>
      <c r="B20" s="4" t="s">
        <v>6</v>
      </c>
      <c r="C20" s="5">
        <v>7500000</v>
      </c>
      <c r="D20" s="6">
        <v>7700000</v>
      </c>
      <c r="E20" s="6">
        <f t="shared" si="0"/>
        <v>200000</v>
      </c>
    </row>
    <row r="21" spans="1:5" x14ac:dyDescent="0.25">
      <c r="A21" s="4">
        <v>19</v>
      </c>
      <c r="B21" s="4" t="s">
        <v>6</v>
      </c>
      <c r="C21" s="5">
        <v>7500000</v>
      </c>
      <c r="D21" s="6">
        <v>7790000</v>
      </c>
      <c r="E21" s="6">
        <f t="shared" si="0"/>
        <v>290000</v>
      </c>
    </row>
    <row r="22" spans="1:5" x14ac:dyDescent="0.25">
      <c r="A22" s="4">
        <v>20</v>
      </c>
      <c r="B22" s="4" t="s">
        <v>6</v>
      </c>
      <c r="C22" s="5">
        <v>7699999</v>
      </c>
      <c r="D22" s="6">
        <v>7800000</v>
      </c>
      <c r="E22" s="6">
        <f t="shared" si="0"/>
        <v>100001</v>
      </c>
    </row>
    <row r="23" spans="1:5" x14ac:dyDescent="0.25">
      <c r="A23" s="4">
        <v>21</v>
      </c>
      <c r="B23" s="10" t="s">
        <v>12</v>
      </c>
      <c r="C23" s="5">
        <v>170000</v>
      </c>
      <c r="D23" s="6">
        <v>232749.05</v>
      </c>
      <c r="E23" s="6">
        <f t="shared" si="0"/>
        <v>62749.049999999988</v>
      </c>
    </row>
    <row r="24" spans="1:5" x14ac:dyDescent="0.25">
      <c r="A24" s="4">
        <v>22</v>
      </c>
      <c r="B24" s="10" t="s">
        <v>12</v>
      </c>
      <c r="C24" s="5">
        <v>180000</v>
      </c>
      <c r="D24" s="6">
        <v>232749.05</v>
      </c>
      <c r="E24" s="6">
        <f t="shared" si="0"/>
        <v>52749.049999999988</v>
      </c>
    </row>
    <row r="25" spans="1:5" x14ac:dyDescent="0.25">
      <c r="A25" s="4">
        <v>23</v>
      </c>
      <c r="B25" s="10" t="s">
        <v>12</v>
      </c>
      <c r="C25" s="5">
        <v>190000</v>
      </c>
      <c r="D25" s="6">
        <v>232749.05</v>
      </c>
      <c r="E25" s="6">
        <f t="shared" si="0"/>
        <v>42749.049999999988</v>
      </c>
    </row>
    <row r="26" spans="1:5" x14ac:dyDescent="0.25">
      <c r="A26" s="4">
        <v>24</v>
      </c>
      <c r="B26" s="10" t="s">
        <v>12</v>
      </c>
      <c r="C26" s="5">
        <v>190000</v>
      </c>
      <c r="D26" s="6">
        <v>237499.05</v>
      </c>
      <c r="E26" s="6">
        <f t="shared" si="0"/>
        <v>47499.049999999988</v>
      </c>
    </row>
    <row r="27" spans="1:5" x14ac:dyDescent="0.25">
      <c r="A27" s="4">
        <v>25</v>
      </c>
      <c r="B27" s="10" t="s">
        <v>12</v>
      </c>
      <c r="C27" s="5">
        <v>179999</v>
      </c>
      <c r="D27" s="6">
        <v>237499.05</v>
      </c>
      <c r="E27" s="6">
        <f t="shared" si="0"/>
        <v>57500.049999999988</v>
      </c>
    </row>
    <row r="28" spans="1:5" x14ac:dyDescent="0.25">
      <c r="A28" s="4">
        <v>26</v>
      </c>
      <c r="B28" s="10" t="s">
        <v>12</v>
      </c>
      <c r="C28" s="5">
        <v>170000</v>
      </c>
      <c r="D28" s="6">
        <v>246999.05</v>
      </c>
      <c r="E28" s="6">
        <f t="shared" si="0"/>
        <v>76999.049999999988</v>
      </c>
    </row>
    <row r="29" spans="1:5" x14ac:dyDescent="0.25">
      <c r="A29" s="4">
        <v>27</v>
      </c>
      <c r="B29" s="10" t="s">
        <v>12</v>
      </c>
      <c r="C29" s="5">
        <v>150000</v>
      </c>
      <c r="D29" s="6">
        <v>256499.05</v>
      </c>
      <c r="E29" s="6">
        <f t="shared" si="0"/>
        <v>106499.04999999999</v>
      </c>
    </row>
    <row r="30" spans="1:5" x14ac:dyDescent="0.25">
      <c r="A30" s="4">
        <v>28</v>
      </c>
      <c r="B30" s="10" t="s">
        <v>12</v>
      </c>
      <c r="C30" s="5">
        <v>180000</v>
      </c>
      <c r="D30" s="6">
        <v>256499.05</v>
      </c>
      <c r="E30" s="6">
        <f t="shared" si="0"/>
        <v>76499.049999999988</v>
      </c>
    </row>
    <row r="31" spans="1:5" x14ac:dyDescent="0.25">
      <c r="A31" s="4">
        <v>29</v>
      </c>
      <c r="B31" s="4" t="s">
        <v>6</v>
      </c>
      <c r="C31" s="5">
        <v>7900000</v>
      </c>
      <c r="D31" s="6">
        <v>7979999.0499999998</v>
      </c>
      <c r="E31" s="6">
        <f t="shared" si="0"/>
        <v>79999.049999999814</v>
      </c>
    </row>
    <row r="32" spans="1:5" x14ac:dyDescent="0.25">
      <c r="A32" s="4">
        <v>30</v>
      </c>
      <c r="B32" s="4" t="s">
        <v>7</v>
      </c>
      <c r="C32" s="5">
        <v>13000000</v>
      </c>
      <c r="D32" s="6">
        <v>13015000</v>
      </c>
      <c r="E32" s="6">
        <f t="shared" si="0"/>
        <v>15000</v>
      </c>
    </row>
    <row r="33" spans="1:5" x14ac:dyDescent="0.25">
      <c r="A33" s="4">
        <v>31</v>
      </c>
      <c r="B33" s="4" t="s">
        <v>7</v>
      </c>
      <c r="C33" s="5">
        <v>13000000</v>
      </c>
      <c r="D33" s="6">
        <v>13037500</v>
      </c>
      <c r="E33" s="6">
        <f t="shared" si="0"/>
        <v>37500</v>
      </c>
    </row>
    <row r="34" spans="1:5" x14ac:dyDescent="0.25">
      <c r="A34" s="4">
        <v>32</v>
      </c>
      <c r="B34" s="4" t="s">
        <v>5</v>
      </c>
      <c r="C34" s="5">
        <v>8500000</v>
      </c>
      <c r="D34" s="6">
        <v>8597498.0999999996</v>
      </c>
      <c r="E34" s="6">
        <f t="shared" si="0"/>
        <v>97498.099999999627</v>
      </c>
    </row>
    <row r="35" spans="1:5" x14ac:dyDescent="0.25">
      <c r="A35" s="4">
        <v>33</v>
      </c>
      <c r="B35" s="4" t="s">
        <v>7</v>
      </c>
      <c r="C35" s="5">
        <v>13000000</v>
      </c>
      <c r="D35" s="6">
        <v>12825000</v>
      </c>
      <c r="E35" s="6">
        <f t="shared" si="0"/>
        <v>-175000</v>
      </c>
    </row>
    <row r="36" spans="1:5" x14ac:dyDescent="0.25">
      <c r="A36" s="4">
        <v>34</v>
      </c>
      <c r="B36" s="4" t="s">
        <v>5</v>
      </c>
      <c r="C36" s="5">
        <v>8500000</v>
      </c>
      <c r="D36" s="6">
        <v>8549998.0999999996</v>
      </c>
      <c r="E36" s="6">
        <f t="shared" si="0"/>
        <v>49998.099999999627</v>
      </c>
    </row>
    <row r="37" spans="1:5" x14ac:dyDescent="0.25">
      <c r="A37" s="4">
        <v>35</v>
      </c>
      <c r="B37" s="10" t="s">
        <v>12</v>
      </c>
      <c r="C37" s="5">
        <v>179999</v>
      </c>
      <c r="D37" s="6">
        <v>227999.05</v>
      </c>
      <c r="E37" s="6">
        <f t="shared" si="0"/>
        <v>48000.049999999988</v>
      </c>
    </row>
    <row r="38" spans="1:5" x14ac:dyDescent="0.25">
      <c r="A38" s="4">
        <v>36</v>
      </c>
      <c r="B38" s="4" t="s">
        <v>7</v>
      </c>
      <c r="C38" s="5">
        <v>13000000</v>
      </c>
      <c r="D38" s="6">
        <v>12730000</v>
      </c>
      <c r="E38" s="6">
        <f t="shared" si="0"/>
        <v>-270000</v>
      </c>
    </row>
    <row r="39" spans="1:5" x14ac:dyDescent="0.25">
      <c r="A39" s="4">
        <v>37</v>
      </c>
      <c r="B39" s="4" t="s">
        <v>7</v>
      </c>
      <c r="C39" s="5">
        <v>13000000</v>
      </c>
      <c r="D39" s="6">
        <v>13095748.1</v>
      </c>
      <c r="E39" s="6">
        <f t="shared" si="0"/>
        <v>95748.099999999627</v>
      </c>
    </row>
    <row r="40" spans="1:5" x14ac:dyDescent="0.25">
      <c r="A40" s="4">
        <v>38</v>
      </c>
      <c r="B40" s="4" t="s">
        <v>13</v>
      </c>
      <c r="C40" s="5">
        <v>4300000</v>
      </c>
      <c r="D40" s="6">
        <v>4654999.05</v>
      </c>
      <c r="E40" s="6">
        <f t="shared" si="0"/>
        <v>354999.04999999981</v>
      </c>
    </row>
    <row r="41" spans="1:5" x14ac:dyDescent="0.25">
      <c r="A41" s="4">
        <v>39</v>
      </c>
      <c r="B41" s="4" t="s">
        <v>5</v>
      </c>
      <c r="C41" s="5">
        <v>8500000</v>
      </c>
      <c r="D41" s="6">
        <v>8549892.6500000004</v>
      </c>
      <c r="E41" s="6">
        <f t="shared" si="0"/>
        <v>49892.650000000373</v>
      </c>
    </row>
    <row r="42" spans="1:5" x14ac:dyDescent="0.25">
      <c r="A42" s="4">
        <v>40</v>
      </c>
      <c r="B42" s="4" t="s">
        <v>5</v>
      </c>
      <c r="C42" s="5">
        <v>8500000</v>
      </c>
      <c r="D42" s="6">
        <v>8549999.0499999989</v>
      </c>
      <c r="E42" s="6">
        <f t="shared" si="0"/>
        <v>49999.049999998882</v>
      </c>
    </row>
    <row r="43" spans="1:5" x14ac:dyDescent="0.25">
      <c r="A43" s="4">
        <v>41</v>
      </c>
      <c r="B43" s="10" t="s">
        <v>12</v>
      </c>
      <c r="C43" s="5">
        <v>145000</v>
      </c>
      <c r="D43" s="6">
        <v>232749.05</v>
      </c>
      <c r="E43" s="6">
        <f t="shared" si="0"/>
        <v>87749.049999999988</v>
      </c>
    </row>
    <row r="44" spans="1:5" x14ac:dyDescent="0.25">
      <c r="A44" s="4">
        <v>42</v>
      </c>
      <c r="B44" s="10" t="s">
        <v>12</v>
      </c>
      <c r="C44" s="5">
        <v>165000</v>
      </c>
      <c r="D44" s="6">
        <v>232749.05</v>
      </c>
      <c r="E44" s="6">
        <f t="shared" si="0"/>
        <v>67749.049999999988</v>
      </c>
    </row>
    <row r="45" spans="1:5" x14ac:dyDescent="0.25">
      <c r="A45" s="4">
        <v>43</v>
      </c>
      <c r="B45" s="10" t="s">
        <v>12</v>
      </c>
      <c r="C45" s="5">
        <v>165000</v>
      </c>
      <c r="D45" s="6">
        <v>232749.05</v>
      </c>
      <c r="E45" s="6">
        <f t="shared" si="0"/>
        <v>67749.049999999988</v>
      </c>
    </row>
    <row r="46" spans="1:5" x14ac:dyDescent="0.25">
      <c r="A46" s="4">
        <v>44</v>
      </c>
      <c r="B46" s="4" t="s">
        <v>7</v>
      </c>
      <c r="C46" s="5">
        <v>13000000</v>
      </c>
      <c r="D46" s="6">
        <v>13062499.049999999</v>
      </c>
      <c r="E46" s="6">
        <f t="shared" si="0"/>
        <v>62499.049999998882</v>
      </c>
    </row>
    <row r="47" spans="1:5" x14ac:dyDescent="0.25">
      <c r="A47" s="4">
        <v>45</v>
      </c>
      <c r="B47" s="10" t="s">
        <v>12</v>
      </c>
      <c r="C47" s="5">
        <v>175000</v>
      </c>
      <c r="D47" s="6">
        <v>232749.05</v>
      </c>
      <c r="E47" s="6">
        <f t="shared" si="0"/>
        <v>57749.049999999988</v>
      </c>
    </row>
    <row r="48" spans="1:5" x14ac:dyDescent="0.25">
      <c r="A48" s="4">
        <v>46</v>
      </c>
      <c r="B48" s="10" t="s">
        <v>12</v>
      </c>
      <c r="C48" s="5">
        <v>185000</v>
      </c>
      <c r="D48" s="6">
        <v>232749.05</v>
      </c>
      <c r="E48" s="6">
        <f t="shared" si="0"/>
        <v>47749.049999999988</v>
      </c>
    </row>
    <row r="49" spans="1:5" x14ac:dyDescent="0.25">
      <c r="A49" s="4">
        <v>47</v>
      </c>
      <c r="B49" s="4" t="s">
        <v>7</v>
      </c>
      <c r="C49" s="5">
        <v>13000000</v>
      </c>
      <c r="D49" s="6">
        <v>13062499.049999999</v>
      </c>
      <c r="E49" s="6">
        <f t="shared" si="0"/>
        <v>62499.049999998882</v>
      </c>
    </row>
    <row r="50" spans="1:5" x14ac:dyDescent="0.25">
      <c r="A50" s="4">
        <v>48</v>
      </c>
      <c r="B50" s="4" t="s">
        <v>7</v>
      </c>
      <c r="C50" s="5">
        <v>12500000</v>
      </c>
      <c r="D50" s="6">
        <v>13000000</v>
      </c>
      <c r="E50" s="6">
        <f t="shared" si="0"/>
        <v>500000</v>
      </c>
    </row>
    <row r="51" spans="1:5" x14ac:dyDescent="0.25">
      <c r="A51" s="4">
        <v>49</v>
      </c>
      <c r="B51" s="4" t="s">
        <v>7</v>
      </c>
      <c r="C51" s="5">
        <v>13000000</v>
      </c>
      <c r="D51" s="6">
        <v>12825000</v>
      </c>
      <c r="E51" s="6">
        <f t="shared" si="0"/>
        <v>-175000</v>
      </c>
    </row>
    <row r="52" spans="1:5" x14ac:dyDescent="0.25">
      <c r="A52" s="4">
        <v>50</v>
      </c>
      <c r="B52" s="10" t="s">
        <v>14</v>
      </c>
      <c r="C52" s="5">
        <v>999999</v>
      </c>
      <c r="D52" s="6">
        <v>1329999.05</v>
      </c>
      <c r="E52" s="6">
        <f t="shared" si="0"/>
        <v>330000.05000000005</v>
      </c>
    </row>
    <row r="53" spans="1:5" x14ac:dyDescent="0.25">
      <c r="A53" s="4">
        <v>51</v>
      </c>
      <c r="B53" s="10" t="s">
        <v>14</v>
      </c>
      <c r="C53" s="5">
        <v>1000000</v>
      </c>
      <c r="D53" s="6">
        <v>1329999.05</v>
      </c>
      <c r="E53" s="6">
        <f t="shared" si="0"/>
        <v>329999.05000000005</v>
      </c>
    </row>
    <row r="54" spans="1:5" x14ac:dyDescent="0.25">
      <c r="A54" s="4">
        <v>52</v>
      </c>
      <c r="B54" s="10" t="s">
        <v>12</v>
      </c>
      <c r="C54" s="5">
        <v>180000</v>
      </c>
      <c r="D54" s="6">
        <v>237499.05</v>
      </c>
      <c r="E54" s="6">
        <f t="shared" si="0"/>
        <v>57499.049999999988</v>
      </c>
    </row>
    <row r="55" spans="1:5" x14ac:dyDescent="0.25">
      <c r="A55" s="4">
        <v>53</v>
      </c>
      <c r="B55" s="10" t="s">
        <v>12</v>
      </c>
      <c r="C55" s="5">
        <v>170000</v>
      </c>
      <c r="D55" s="6">
        <v>237499.05</v>
      </c>
      <c r="E55" s="6">
        <f t="shared" si="0"/>
        <v>67499.049999999988</v>
      </c>
    </row>
    <row r="56" spans="1:5" x14ac:dyDescent="0.25">
      <c r="A56" s="4">
        <v>54</v>
      </c>
      <c r="B56" s="10" t="s">
        <v>12</v>
      </c>
      <c r="C56" s="5">
        <v>170000</v>
      </c>
      <c r="D56" s="6">
        <v>243199.05</v>
      </c>
      <c r="E56" s="6">
        <f t="shared" si="0"/>
        <v>73199.049999999988</v>
      </c>
    </row>
    <row r="57" spans="1:5" x14ac:dyDescent="0.25">
      <c r="A57" s="4">
        <v>55</v>
      </c>
      <c r="B57" s="10" t="s">
        <v>15</v>
      </c>
      <c r="C57" s="5">
        <v>2000000</v>
      </c>
      <c r="D57" s="6">
        <v>2146999.0499999998</v>
      </c>
      <c r="E57" s="6">
        <f t="shared" si="0"/>
        <v>146999.04999999981</v>
      </c>
    </row>
    <row r="58" spans="1:5" x14ac:dyDescent="0.25">
      <c r="A58" s="4">
        <v>56</v>
      </c>
      <c r="B58" s="10" t="s">
        <v>15</v>
      </c>
      <c r="C58" s="5">
        <v>2000000</v>
      </c>
      <c r="D58" s="6">
        <v>2146999.0499999998</v>
      </c>
      <c r="E58" s="6">
        <f t="shared" si="0"/>
        <v>146999.04999999981</v>
      </c>
    </row>
    <row r="59" spans="1:5" x14ac:dyDescent="0.25">
      <c r="A59" s="4">
        <v>57</v>
      </c>
      <c r="B59" s="10" t="s">
        <v>15</v>
      </c>
      <c r="C59" s="5">
        <v>2000000</v>
      </c>
      <c r="D59" s="6">
        <v>2146999.0499999998</v>
      </c>
      <c r="E59" s="6">
        <f t="shared" si="0"/>
        <v>146999.04999999981</v>
      </c>
    </row>
    <row r="60" spans="1:5" x14ac:dyDescent="0.25">
      <c r="A60" s="4">
        <v>58</v>
      </c>
      <c r="B60" s="10" t="s">
        <v>15</v>
      </c>
      <c r="C60" s="5">
        <v>1950000</v>
      </c>
      <c r="D60" s="6">
        <v>2089999.0499999998</v>
      </c>
      <c r="E60" s="6">
        <f t="shared" si="0"/>
        <v>139999.04999999981</v>
      </c>
    </row>
    <row r="61" spans="1:5" x14ac:dyDescent="0.25">
      <c r="A61" s="4">
        <v>59</v>
      </c>
      <c r="B61" s="10" t="s">
        <v>15</v>
      </c>
      <c r="C61" s="5">
        <v>2000000</v>
      </c>
      <c r="D61" s="6">
        <v>2089999.0499999998</v>
      </c>
      <c r="E61" s="6">
        <f t="shared" si="0"/>
        <v>89999.049999999814</v>
      </c>
    </row>
    <row r="62" spans="1:5" x14ac:dyDescent="0.25">
      <c r="A62" s="4">
        <v>60</v>
      </c>
      <c r="B62" s="10" t="s">
        <v>12</v>
      </c>
      <c r="C62" s="5">
        <v>125000</v>
      </c>
      <c r="D62" s="6">
        <v>243199.05</v>
      </c>
      <c r="E62" s="6">
        <f t="shared" si="0"/>
        <v>118199.04999999999</v>
      </c>
    </row>
    <row r="63" spans="1:5" x14ac:dyDescent="0.25">
      <c r="A63" s="4">
        <v>61</v>
      </c>
      <c r="B63" s="10" t="s">
        <v>16</v>
      </c>
      <c r="C63" s="5">
        <v>2680000</v>
      </c>
      <c r="D63" s="6">
        <v>2849998.1</v>
      </c>
      <c r="E63" s="6">
        <f t="shared" si="0"/>
        <v>169998.10000000009</v>
      </c>
    </row>
    <row r="64" spans="1:5" x14ac:dyDescent="0.25">
      <c r="A64" s="4">
        <v>62</v>
      </c>
      <c r="B64" s="10" t="s">
        <v>17</v>
      </c>
      <c r="C64" s="5">
        <v>2999999</v>
      </c>
      <c r="D64" s="6">
        <v>3324049.05</v>
      </c>
      <c r="E64" s="6">
        <f t="shared" si="0"/>
        <v>324050.04999999981</v>
      </c>
    </row>
    <row r="65" spans="1:5" x14ac:dyDescent="0.25">
      <c r="A65" s="4">
        <v>63</v>
      </c>
      <c r="B65" s="10" t="s">
        <v>15</v>
      </c>
      <c r="C65" s="5">
        <v>1999999</v>
      </c>
      <c r="D65" s="6">
        <v>2089999.0499999998</v>
      </c>
      <c r="E65" s="6">
        <f t="shared" si="0"/>
        <v>90000.049999999814</v>
      </c>
    </row>
    <row r="66" spans="1:5" x14ac:dyDescent="0.25">
      <c r="A66" s="4">
        <v>64</v>
      </c>
      <c r="B66" s="10" t="s">
        <v>15</v>
      </c>
      <c r="C66" s="5">
        <v>2005000</v>
      </c>
      <c r="D66" s="6">
        <v>2089999.0499999998</v>
      </c>
      <c r="E66" s="6">
        <f t="shared" si="0"/>
        <v>84999.049999999814</v>
      </c>
    </row>
    <row r="67" spans="1:5" x14ac:dyDescent="0.25">
      <c r="A67" s="4">
        <v>65</v>
      </c>
      <c r="B67" s="10" t="s">
        <v>15</v>
      </c>
      <c r="C67" s="5">
        <v>2005000</v>
      </c>
      <c r="D67" s="6">
        <v>2089999.0499999998</v>
      </c>
      <c r="E67" s="6">
        <f t="shared" ref="E67:E130" si="1">D67-C67</f>
        <v>84999.049999999814</v>
      </c>
    </row>
    <row r="68" spans="1:5" x14ac:dyDescent="0.25">
      <c r="A68" s="4">
        <v>66</v>
      </c>
      <c r="B68" s="10" t="s">
        <v>15</v>
      </c>
      <c r="C68" s="5">
        <v>1999999</v>
      </c>
      <c r="D68" s="6">
        <v>2089999.0499999998</v>
      </c>
      <c r="E68" s="6">
        <f t="shared" si="1"/>
        <v>90000.049999999814</v>
      </c>
    </row>
    <row r="69" spans="1:5" x14ac:dyDescent="0.25">
      <c r="A69" s="4">
        <v>67</v>
      </c>
      <c r="B69" s="10" t="s">
        <v>15</v>
      </c>
      <c r="C69" s="5">
        <v>2000000</v>
      </c>
      <c r="D69" s="6">
        <v>2089999.0499999998</v>
      </c>
      <c r="E69" s="6">
        <f t="shared" si="1"/>
        <v>89999.049999999814</v>
      </c>
    </row>
    <row r="70" spans="1:5" x14ac:dyDescent="0.25">
      <c r="A70" s="4">
        <v>68</v>
      </c>
      <c r="B70" s="10" t="s">
        <v>15</v>
      </c>
      <c r="C70" s="5">
        <v>2000000</v>
      </c>
      <c r="D70" s="6">
        <v>2089999.0499999998</v>
      </c>
      <c r="E70" s="6">
        <f t="shared" si="1"/>
        <v>89999.049999999814</v>
      </c>
    </row>
    <row r="71" spans="1:5" x14ac:dyDescent="0.25">
      <c r="A71" s="4">
        <v>69</v>
      </c>
      <c r="B71" s="10" t="s">
        <v>18</v>
      </c>
      <c r="C71" s="5">
        <v>2999999</v>
      </c>
      <c r="D71" s="6">
        <v>3087500</v>
      </c>
      <c r="E71" s="6">
        <f t="shared" si="1"/>
        <v>87501</v>
      </c>
    </row>
    <row r="72" spans="1:5" x14ac:dyDescent="0.25">
      <c r="A72" s="4">
        <v>70</v>
      </c>
      <c r="B72" s="10" t="s">
        <v>18</v>
      </c>
      <c r="C72" s="5">
        <v>3000000</v>
      </c>
      <c r="D72" s="6">
        <v>3166665.4</v>
      </c>
      <c r="E72" s="6">
        <f t="shared" si="1"/>
        <v>166665.39999999991</v>
      </c>
    </row>
    <row r="73" spans="1:5" x14ac:dyDescent="0.25">
      <c r="A73" s="4">
        <v>71</v>
      </c>
      <c r="B73" s="10" t="s">
        <v>19</v>
      </c>
      <c r="C73" s="5">
        <v>833000</v>
      </c>
      <c r="D73" s="6">
        <v>892999.04999999993</v>
      </c>
      <c r="E73" s="6">
        <f t="shared" si="1"/>
        <v>59999.04999999993</v>
      </c>
    </row>
    <row r="74" spans="1:5" x14ac:dyDescent="0.25">
      <c r="A74" s="4">
        <v>72</v>
      </c>
      <c r="B74" s="10" t="s">
        <v>19</v>
      </c>
      <c r="C74" s="5">
        <v>850000</v>
      </c>
      <c r="D74" s="6">
        <v>940499.04999999993</v>
      </c>
      <c r="E74" s="6">
        <f t="shared" si="1"/>
        <v>90499.04999999993</v>
      </c>
    </row>
    <row r="75" spans="1:5" x14ac:dyDescent="0.25">
      <c r="A75" s="4">
        <v>73</v>
      </c>
      <c r="B75" s="10" t="s">
        <v>20</v>
      </c>
      <c r="C75" s="5">
        <v>570000</v>
      </c>
      <c r="D75" s="6">
        <v>702999.04999999993</v>
      </c>
      <c r="E75" s="6">
        <f t="shared" si="1"/>
        <v>132999.04999999993</v>
      </c>
    </row>
    <row r="76" spans="1:5" x14ac:dyDescent="0.25">
      <c r="A76" s="4">
        <v>74</v>
      </c>
      <c r="B76" s="10" t="s">
        <v>20</v>
      </c>
      <c r="C76" s="5">
        <v>550000</v>
      </c>
      <c r="D76" s="6">
        <v>702999.04999999993</v>
      </c>
      <c r="E76" s="6">
        <f t="shared" si="1"/>
        <v>152999.04999999993</v>
      </c>
    </row>
    <row r="77" spans="1:5" x14ac:dyDescent="0.25">
      <c r="A77" s="4">
        <v>75</v>
      </c>
      <c r="B77" s="10" t="s">
        <v>20</v>
      </c>
      <c r="C77" s="5">
        <v>500000</v>
      </c>
      <c r="D77" s="6">
        <v>702999.04999999993</v>
      </c>
      <c r="E77" s="6">
        <f t="shared" si="1"/>
        <v>202999.04999999993</v>
      </c>
    </row>
    <row r="78" spans="1:5" x14ac:dyDescent="0.25">
      <c r="A78" s="4">
        <v>76</v>
      </c>
      <c r="B78" s="10" t="s">
        <v>20</v>
      </c>
      <c r="C78" s="5">
        <v>511111</v>
      </c>
      <c r="D78" s="6">
        <v>664997.15</v>
      </c>
      <c r="E78" s="6">
        <f t="shared" si="1"/>
        <v>153886.15000000002</v>
      </c>
    </row>
    <row r="79" spans="1:5" x14ac:dyDescent="0.25">
      <c r="A79" s="4">
        <v>77</v>
      </c>
      <c r="B79" s="10" t="s">
        <v>20</v>
      </c>
      <c r="C79" s="5">
        <v>555555</v>
      </c>
      <c r="D79" s="6">
        <v>660248.1</v>
      </c>
      <c r="E79" s="6">
        <f t="shared" si="1"/>
        <v>104693.09999999998</v>
      </c>
    </row>
    <row r="80" spans="1:5" x14ac:dyDescent="0.25">
      <c r="A80" s="4">
        <v>78</v>
      </c>
      <c r="B80" s="4" t="s">
        <v>5</v>
      </c>
      <c r="C80" s="5">
        <v>8000000</v>
      </c>
      <c r="D80" s="6">
        <v>8000000</v>
      </c>
      <c r="E80" s="6">
        <f t="shared" si="1"/>
        <v>0</v>
      </c>
    </row>
    <row r="81" spans="1:5" x14ac:dyDescent="0.25">
      <c r="A81" s="4">
        <v>79</v>
      </c>
      <c r="B81" s="10" t="s">
        <v>20</v>
      </c>
      <c r="C81" s="5">
        <v>555555</v>
      </c>
      <c r="D81" s="6">
        <v>660248.1</v>
      </c>
      <c r="E81" s="6">
        <f t="shared" si="1"/>
        <v>104693.09999999998</v>
      </c>
    </row>
    <row r="82" spans="1:5" x14ac:dyDescent="0.25">
      <c r="A82" s="4">
        <v>80</v>
      </c>
      <c r="B82" s="4" t="s">
        <v>6</v>
      </c>
      <c r="C82" s="5">
        <v>7500000</v>
      </c>
      <c r="D82" s="6">
        <v>7969443</v>
      </c>
      <c r="E82" s="6">
        <f t="shared" si="1"/>
        <v>469443</v>
      </c>
    </row>
    <row r="83" spans="1:5" x14ac:dyDescent="0.25">
      <c r="A83" s="4">
        <v>81</v>
      </c>
      <c r="B83" s="10" t="s">
        <v>20</v>
      </c>
      <c r="C83" s="5">
        <v>550000</v>
      </c>
      <c r="D83" s="6">
        <v>664999.04999999993</v>
      </c>
      <c r="E83" s="6">
        <f t="shared" si="1"/>
        <v>114999.04999999993</v>
      </c>
    </row>
    <row r="84" spans="1:5" x14ac:dyDescent="0.25">
      <c r="A84" s="4">
        <v>82</v>
      </c>
      <c r="B84" s="10" t="s">
        <v>12</v>
      </c>
      <c r="C84" s="5">
        <v>189999</v>
      </c>
      <c r="D84" s="6">
        <v>208049.05</v>
      </c>
      <c r="E84" s="6">
        <f t="shared" si="1"/>
        <v>18050.049999999988</v>
      </c>
    </row>
    <row r="85" spans="1:5" x14ac:dyDescent="0.25">
      <c r="A85" s="4">
        <v>83</v>
      </c>
      <c r="B85" s="10" t="s">
        <v>20</v>
      </c>
      <c r="C85" s="5">
        <v>500000</v>
      </c>
      <c r="D85" s="6">
        <v>664999.04999999993</v>
      </c>
      <c r="E85" s="6">
        <f t="shared" si="1"/>
        <v>164999.04999999993</v>
      </c>
    </row>
    <row r="86" spans="1:5" x14ac:dyDescent="0.25">
      <c r="A86" s="4">
        <v>84</v>
      </c>
      <c r="B86" s="10" t="s">
        <v>20</v>
      </c>
      <c r="C86" s="5">
        <v>600000</v>
      </c>
      <c r="D86" s="6">
        <v>664999.04999999993</v>
      </c>
      <c r="E86" s="6">
        <f t="shared" si="1"/>
        <v>64999.04999999993</v>
      </c>
    </row>
    <row r="87" spans="1:5" x14ac:dyDescent="0.25">
      <c r="A87" s="4">
        <v>85</v>
      </c>
      <c r="B87" s="10" t="s">
        <v>20</v>
      </c>
      <c r="C87" s="5">
        <v>600000</v>
      </c>
      <c r="D87" s="6">
        <v>633331.75</v>
      </c>
      <c r="E87" s="6">
        <f t="shared" si="1"/>
        <v>33331.75</v>
      </c>
    </row>
    <row r="88" spans="1:5" x14ac:dyDescent="0.25">
      <c r="A88" s="4">
        <v>86</v>
      </c>
      <c r="B88" s="10" t="s">
        <v>21</v>
      </c>
      <c r="C88" s="5">
        <v>700000</v>
      </c>
      <c r="D88" s="6">
        <v>892999.04999999993</v>
      </c>
      <c r="E88" s="6">
        <f t="shared" si="1"/>
        <v>192999.04999999993</v>
      </c>
    </row>
    <row r="89" spans="1:5" x14ac:dyDescent="0.25">
      <c r="A89" s="4">
        <v>87</v>
      </c>
      <c r="B89" s="10" t="s">
        <v>21</v>
      </c>
      <c r="C89" s="5">
        <v>700000</v>
      </c>
      <c r="D89" s="6">
        <v>892999.04999999993</v>
      </c>
      <c r="E89" s="6">
        <f t="shared" si="1"/>
        <v>192999.04999999993</v>
      </c>
    </row>
    <row r="90" spans="1:5" x14ac:dyDescent="0.25">
      <c r="A90" s="4">
        <v>88</v>
      </c>
      <c r="B90" s="10" t="s">
        <v>14</v>
      </c>
      <c r="C90" s="5">
        <v>1000000</v>
      </c>
      <c r="D90" s="6">
        <v>1139997.1499999999</v>
      </c>
      <c r="E90" s="6">
        <f t="shared" si="1"/>
        <v>139997.14999999991</v>
      </c>
    </row>
    <row r="91" spans="1:5" x14ac:dyDescent="0.25">
      <c r="A91" s="4">
        <v>89</v>
      </c>
      <c r="B91" s="10" t="s">
        <v>15</v>
      </c>
      <c r="C91" s="5">
        <v>1680000</v>
      </c>
      <c r="D91" s="6">
        <v>2132749.0499999998</v>
      </c>
      <c r="E91" s="6">
        <f t="shared" si="1"/>
        <v>452749.04999999981</v>
      </c>
    </row>
    <row r="92" spans="1:5" x14ac:dyDescent="0.25">
      <c r="A92" s="4">
        <v>90</v>
      </c>
      <c r="B92" s="10" t="s">
        <v>12</v>
      </c>
      <c r="C92" s="5">
        <v>185000</v>
      </c>
      <c r="D92" s="6">
        <v>208049.05</v>
      </c>
      <c r="E92" s="6">
        <f t="shared" si="1"/>
        <v>23049.049999999988</v>
      </c>
    </row>
    <row r="93" spans="1:5" x14ac:dyDescent="0.25">
      <c r="A93" s="4">
        <v>91</v>
      </c>
      <c r="B93" s="10" t="s">
        <v>16</v>
      </c>
      <c r="C93" s="5">
        <v>2400000</v>
      </c>
      <c r="D93" s="6">
        <v>2849999.05</v>
      </c>
      <c r="E93" s="6">
        <f t="shared" si="1"/>
        <v>449999.04999999981</v>
      </c>
    </row>
    <row r="94" spans="1:5" x14ac:dyDescent="0.25">
      <c r="A94" s="4">
        <v>92</v>
      </c>
      <c r="B94" s="10" t="s">
        <v>16</v>
      </c>
      <c r="C94" s="5">
        <v>2500000</v>
      </c>
      <c r="D94" s="6">
        <v>2849999.05</v>
      </c>
      <c r="E94" s="6">
        <f t="shared" si="1"/>
        <v>349999.04999999981</v>
      </c>
    </row>
    <row r="95" spans="1:5" x14ac:dyDescent="0.25">
      <c r="A95" s="4">
        <v>93</v>
      </c>
      <c r="B95" s="10" t="s">
        <v>16</v>
      </c>
      <c r="C95" s="5">
        <v>2600000</v>
      </c>
      <c r="D95" s="6">
        <v>2849999.05</v>
      </c>
      <c r="E95" s="6">
        <f t="shared" si="1"/>
        <v>249999.04999999981</v>
      </c>
    </row>
    <row r="96" spans="1:5" x14ac:dyDescent="0.25">
      <c r="A96" s="4">
        <v>94</v>
      </c>
      <c r="B96" s="10" t="s">
        <v>14</v>
      </c>
      <c r="C96" s="5">
        <v>890000</v>
      </c>
      <c r="D96" s="6">
        <v>1139997.1499999999</v>
      </c>
      <c r="E96" s="6">
        <f t="shared" si="1"/>
        <v>249997.14999999991</v>
      </c>
    </row>
    <row r="97" spans="1:5" x14ac:dyDescent="0.25">
      <c r="A97" s="4">
        <v>95</v>
      </c>
      <c r="B97" s="10" t="s">
        <v>19</v>
      </c>
      <c r="C97" s="13">
        <v>830000</v>
      </c>
      <c r="D97" s="6">
        <v>897220.85</v>
      </c>
      <c r="E97" s="6">
        <f t="shared" si="1"/>
        <v>67220.849999999977</v>
      </c>
    </row>
    <row r="98" spans="1:5" x14ac:dyDescent="0.25">
      <c r="A98" s="4">
        <v>96</v>
      </c>
      <c r="B98" s="10" t="s">
        <v>20</v>
      </c>
      <c r="C98" s="5">
        <v>555555</v>
      </c>
      <c r="D98" s="6">
        <v>633331.75</v>
      </c>
      <c r="E98" s="6">
        <f t="shared" si="1"/>
        <v>77776.75</v>
      </c>
    </row>
    <row r="99" spans="1:5" x14ac:dyDescent="0.25">
      <c r="A99" s="4">
        <v>97</v>
      </c>
      <c r="B99" s="4" t="s">
        <v>5</v>
      </c>
      <c r="C99" s="5">
        <v>8000000</v>
      </c>
      <c r="D99" s="6">
        <v>7600000</v>
      </c>
      <c r="E99" s="6">
        <f t="shared" si="1"/>
        <v>-400000</v>
      </c>
    </row>
    <row r="100" spans="1:5" x14ac:dyDescent="0.25">
      <c r="A100" s="4">
        <v>98</v>
      </c>
      <c r="B100" s="10" t="s">
        <v>15</v>
      </c>
      <c r="C100" s="5">
        <v>1700000</v>
      </c>
      <c r="D100" s="6">
        <v>2089999.0499999998</v>
      </c>
      <c r="E100" s="6">
        <f t="shared" si="1"/>
        <v>389999.04999999981</v>
      </c>
    </row>
    <row r="101" spans="1:5" x14ac:dyDescent="0.25">
      <c r="A101" s="4">
        <v>99</v>
      </c>
      <c r="B101" s="10" t="s">
        <v>6</v>
      </c>
      <c r="C101" s="13">
        <v>7300000</v>
      </c>
      <c r="D101" s="6">
        <v>7800000</v>
      </c>
      <c r="E101" s="6">
        <f t="shared" si="1"/>
        <v>500000</v>
      </c>
    </row>
    <row r="102" spans="1:5" x14ac:dyDescent="0.25">
      <c r="A102" s="4">
        <v>100</v>
      </c>
      <c r="B102" s="4" t="s">
        <v>5</v>
      </c>
      <c r="C102" s="5">
        <v>8000000</v>
      </c>
      <c r="D102" s="6">
        <v>9499999</v>
      </c>
      <c r="E102" s="6">
        <f t="shared" si="1"/>
        <v>1499999</v>
      </c>
    </row>
    <row r="103" spans="1:5" x14ac:dyDescent="0.25">
      <c r="A103" s="4">
        <v>101</v>
      </c>
      <c r="B103" s="10" t="s">
        <v>20</v>
      </c>
      <c r="C103" s="5">
        <v>500000</v>
      </c>
      <c r="D103" s="6">
        <v>655499.04999999993</v>
      </c>
      <c r="E103" s="6">
        <f t="shared" si="1"/>
        <v>155499.04999999993</v>
      </c>
    </row>
    <row r="104" spans="1:5" x14ac:dyDescent="0.25">
      <c r="A104" s="4">
        <v>102</v>
      </c>
      <c r="B104" s="10" t="s">
        <v>20</v>
      </c>
      <c r="C104" s="5">
        <v>550000</v>
      </c>
      <c r="D104" s="6">
        <v>664999.04999999993</v>
      </c>
      <c r="E104" s="6">
        <f t="shared" si="1"/>
        <v>114999.04999999993</v>
      </c>
    </row>
    <row r="105" spans="1:5" x14ac:dyDescent="0.25">
      <c r="A105" s="4">
        <v>103</v>
      </c>
      <c r="B105" s="10" t="s">
        <v>20</v>
      </c>
      <c r="C105" s="5">
        <v>550000</v>
      </c>
      <c r="D105" s="6">
        <v>664999.04999999993</v>
      </c>
      <c r="E105" s="6">
        <f t="shared" si="1"/>
        <v>114999.04999999993</v>
      </c>
    </row>
    <row r="106" spans="1:5" x14ac:dyDescent="0.25">
      <c r="A106" s="4">
        <v>104</v>
      </c>
      <c r="B106" s="10" t="s">
        <v>11</v>
      </c>
      <c r="C106" s="5">
        <v>2500000</v>
      </c>
      <c r="D106" s="6">
        <v>2659999.0499999998</v>
      </c>
      <c r="E106" s="6">
        <f t="shared" si="1"/>
        <v>159999.04999999981</v>
      </c>
    </row>
    <row r="107" spans="1:5" x14ac:dyDescent="0.25">
      <c r="A107" s="4">
        <v>105</v>
      </c>
      <c r="B107" s="10" t="s">
        <v>19</v>
      </c>
      <c r="C107" s="5">
        <v>700000</v>
      </c>
      <c r="D107" s="6">
        <v>854999.04999999993</v>
      </c>
      <c r="E107" s="6">
        <f t="shared" si="1"/>
        <v>154999.04999999993</v>
      </c>
    </row>
    <row r="108" spans="1:5" x14ac:dyDescent="0.25">
      <c r="A108" s="4">
        <v>106</v>
      </c>
      <c r="B108" s="10" t="s">
        <v>14</v>
      </c>
      <c r="C108" s="5">
        <v>800000</v>
      </c>
      <c r="D108" s="6">
        <v>1158999.05</v>
      </c>
      <c r="E108" s="6">
        <f t="shared" si="1"/>
        <v>358999.05000000005</v>
      </c>
    </row>
    <row r="109" spans="1:5" x14ac:dyDescent="0.25">
      <c r="A109" s="4">
        <v>107</v>
      </c>
      <c r="B109" s="10" t="s">
        <v>20</v>
      </c>
      <c r="C109" s="5">
        <v>520000</v>
      </c>
      <c r="D109" s="6">
        <v>664999.04999999993</v>
      </c>
      <c r="E109" s="6">
        <f t="shared" si="1"/>
        <v>144999.04999999993</v>
      </c>
    </row>
    <row r="110" spans="1:5" x14ac:dyDescent="0.25">
      <c r="A110" s="4">
        <v>108</v>
      </c>
      <c r="B110" s="4" t="s">
        <v>5</v>
      </c>
      <c r="C110" s="5">
        <v>7500000</v>
      </c>
      <c r="D110" s="6">
        <v>7600000</v>
      </c>
      <c r="E110" s="6">
        <f t="shared" si="1"/>
        <v>100000</v>
      </c>
    </row>
    <row r="111" spans="1:5" x14ac:dyDescent="0.25">
      <c r="A111" s="4">
        <v>109</v>
      </c>
      <c r="B111" s="10" t="s">
        <v>11</v>
      </c>
      <c r="C111" s="6">
        <v>2500000</v>
      </c>
      <c r="D111" s="6">
        <v>2754049.05</v>
      </c>
      <c r="E111" s="6">
        <f t="shared" si="1"/>
        <v>254049.04999999981</v>
      </c>
    </row>
    <row r="112" spans="1:5" x14ac:dyDescent="0.25">
      <c r="A112" s="4">
        <v>110</v>
      </c>
      <c r="B112" s="10" t="s">
        <v>12</v>
      </c>
      <c r="C112" s="6">
        <v>160000</v>
      </c>
      <c r="D112" s="6">
        <v>227999.05</v>
      </c>
      <c r="E112" s="6">
        <f t="shared" si="1"/>
        <v>67999.049999999988</v>
      </c>
    </row>
    <row r="113" spans="1:5" x14ac:dyDescent="0.25">
      <c r="A113" s="4">
        <v>111</v>
      </c>
      <c r="B113" s="10" t="s">
        <v>12</v>
      </c>
      <c r="C113" s="6">
        <v>170000</v>
      </c>
      <c r="D113" s="6">
        <v>237498.09999999998</v>
      </c>
      <c r="E113" s="6">
        <f t="shared" si="1"/>
        <v>67498.099999999977</v>
      </c>
    </row>
    <row r="114" spans="1:5" x14ac:dyDescent="0.25">
      <c r="A114" s="4">
        <v>112</v>
      </c>
      <c r="B114" s="10" t="s">
        <v>14</v>
      </c>
      <c r="C114" s="6">
        <v>1050000</v>
      </c>
      <c r="D114" s="6">
        <v>1200000</v>
      </c>
      <c r="E114" s="6">
        <f t="shared" si="1"/>
        <v>150000</v>
      </c>
    </row>
    <row r="115" spans="1:5" x14ac:dyDescent="0.25">
      <c r="A115" s="4">
        <v>113</v>
      </c>
      <c r="B115" s="10" t="s">
        <v>20</v>
      </c>
      <c r="C115" s="6">
        <v>550000</v>
      </c>
      <c r="D115" s="6">
        <v>654549.04999999993</v>
      </c>
      <c r="E115" s="6">
        <f t="shared" si="1"/>
        <v>104549.04999999993</v>
      </c>
    </row>
    <row r="116" spans="1:5" x14ac:dyDescent="0.25">
      <c r="A116" s="4">
        <v>114</v>
      </c>
      <c r="B116" s="10" t="s">
        <v>20</v>
      </c>
      <c r="C116" s="6">
        <v>550000</v>
      </c>
      <c r="D116" s="6">
        <v>789999</v>
      </c>
      <c r="E116" s="6">
        <f t="shared" si="1"/>
        <v>239999</v>
      </c>
    </row>
    <row r="117" spans="1:5" x14ac:dyDescent="0.25">
      <c r="A117" s="4">
        <v>115</v>
      </c>
      <c r="B117" s="4" t="s">
        <v>5</v>
      </c>
      <c r="C117" s="6">
        <v>7999999</v>
      </c>
      <c r="D117" s="6">
        <v>7600000</v>
      </c>
      <c r="E117" s="6">
        <f t="shared" si="1"/>
        <v>-399999</v>
      </c>
    </row>
    <row r="118" spans="1:5" x14ac:dyDescent="0.25">
      <c r="A118" s="4">
        <v>116</v>
      </c>
      <c r="B118" s="10" t="s">
        <v>14</v>
      </c>
      <c r="C118" s="6">
        <v>1000000</v>
      </c>
      <c r="D118" s="6">
        <v>1187498.0999999999</v>
      </c>
      <c r="E118" s="6">
        <f t="shared" si="1"/>
        <v>187498.09999999986</v>
      </c>
    </row>
    <row r="119" spans="1:5" x14ac:dyDescent="0.25">
      <c r="A119" s="4">
        <v>117</v>
      </c>
      <c r="B119" s="10" t="s">
        <v>12</v>
      </c>
      <c r="C119" s="6">
        <v>150000</v>
      </c>
      <c r="D119" s="6">
        <v>223249.05</v>
      </c>
      <c r="E119" s="6">
        <f t="shared" si="1"/>
        <v>73249.049999999988</v>
      </c>
    </row>
    <row r="120" spans="1:5" x14ac:dyDescent="0.25">
      <c r="A120" s="4">
        <v>118</v>
      </c>
      <c r="B120" s="10" t="s">
        <v>12</v>
      </c>
      <c r="C120" s="6">
        <v>159999</v>
      </c>
      <c r="D120" s="6">
        <v>208999.05</v>
      </c>
      <c r="E120" s="6">
        <f t="shared" si="1"/>
        <v>49000.049999999988</v>
      </c>
    </row>
    <row r="121" spans="1:5" x14ac:dyDescent="0.25">
      <c r="A121" s="4">
        <v>119</v>
      </c>
      <c r="B121" s="4" t="s">
        <v>5</v>
      </c>
      <c r="C121" s="6">
        <v>7500000</v>
      </c>
      <c r="D121" s="6">
        <v>7646550</v>
      </c>
      <c r="E121" s="6">
        <f t="shared" si="1"/>
        <v>146550</v>
      </c>
    </row>
    <row r="122" spans="1:5" x14ac:dyDescent="0.25">
      <c r="A122" s="4">
        <v>120</v>
      </c>
      <c r="B122" s="4" t="s">
        <v>13</v>
      </c>
      <c r="C122" s="6">
        <v>3499999</v>
      </c>
      <c r="D122" s="6">
        <v>4486849.05</v>
      </c>
      <c r="E122" s="6">
        <f t="shared" si="1"/>
        <v>986850.04999999981</v>
      </c>
    </row>
    <row r="123" spans="1:5" x14ac:dyDescent="0.25">
      <c r="A123" s="4">
        <v>121</v>
      </c>
      <c r="B123" s="10" t="s">
        <v>20</v>
      </c>
      <c r="C123" s="6">
        <v>550000</v>
      </c>
      <c r="D123" s="6">
        <v>709999</v>
      </c>
      <c r="E123" s="6">
        <f t="shared" si="1"/>
        <v>159999</v>
      </c>
    </row>
    <row r="124" spans="1:5" x14ac:dyDescent="0.25">
      <c r="A124" s="4">
        <v>122</v>
      </c>
      <c r="B124" s="10" t="s">
        <v>20</v>
      </c>
      <c r="C124" s="6">
        <v>500000</v>
      </c>
      <c r="D124" s="6">
        <v>709999</v>
      </c>
      <c r="E124" s="6">
        <f t="shared" si="1"/>
        <v>209999</v>
      </c>
    </row>
    <row r="125" spans="1:5" x14ac:dyDescent="0.25">
      <c r="A125" s="4">
        <v>123</v>
      </c>
      <c r="B125" s="4" t="s">
        <v>13</v>
      </c>
      <c r="C125" s="6">
        <v>4000000</v>
      </c>
      <c r="D125" s="6">
        <v>4486849.05</v>
      </c>
      <c r="E125" s="6">
        <f t="shared" si="1"/>
        <v>486849.04999999981</v>
      </c>
    </row>
    <row r="126" spans="1:5" x14ac:dyDescent="0.25">
      <c r="A126" s="4">
        <v>124</v>
      </c>
      <c r="B126" s="10" t="s">
        <v>12</v>
      </c>
      <c r="C126" s="6">
        <v>175000</v>
      </c>
      <c r="D126" s="6">
        <v>208999.05</v>
      </c>
      <c r="E126" s="6">
        <f t="shared" si="1"/>
        <v>33999.049999999988</v>
      </c>
    </row>
    <row r="127" spans="1:5" x14ac:dyDescent="0.25">
      <c r="A127" s="4">
        <v>125</v>
      </c>
      <c r="B127" s="10" t="s">
        <v>20</v>
      </c>
      <c r="C127" s="6">
        <v>540000</v>
      </c>
      <c r="D127" s="7">
        <v>699999</v>
      </c>
      <c r="E127" s="6">
        <f t="shared" si="1"/>
        <v>159999</v>
      </c>
    </row>
    <row r="128" spans="1:5" x14ac:dyDescent="0.25">
      <c r="A128" s="4">
        <v>126</v>
      </c>
      <c r="B128" s="10" t="s">
        <v>20</v>
      </c>
      <c r="C128" s="6">
        <v>500000</v>
      </c>
      <c r="D128" s="6">
        <v>664999.04999999993</v>
      </c>
      <c r="E128" s="6">
        <f t="shared" si="1"/>
        <v>164999.04999999993</v>
      </c>
    </row>
    <row r="129" spans="1:5" x14ac:dyDescent="0.25">
      <c r="A129" s="4">
        <v>127</v>
      </c>
      <c r="B129" s="10" t="s">
        <v>12</v>
      </c>
      <c r="C129" s="6">
        <v>150000</v>
      </c>
      <c r="D129" s="6">
        <v>218499.05</v>
      </c>
      <c r="E129" s="6">
        <f t="shared" si="1"/>
        <v>68499.049999999988</v>
      </c>
    </row>
    <row r="130" spans="1:5" x14ac:dyDescent="0.25">
      <c r="A130" s="4">
        <v>128</v>
      </c>
      <c r="B130" s="10" t="s">
        <v>15</v>
      </c>
      <c r="C130" s="6">
        <v>1850000</v>
      </c>
      <c r="D130" s="6">
        <v>2089999.0499999998</v>
      </c>
      <c r="E130" s="6">
        <f t="shared" si="1"/>
        <v>239999.04999999981</v>
      </c>
    </row>
    <row r="131" spans="1:5" x14ac:dyDescent="0.25">
      <c r="A131" s="4">
        <v>129</v>
      </c>
      <c r="B131" s="10" t="s">
        <v>15</v>
      </c>
      <c r="C131" s="6">
        <v>1500000</v>
      </c>
      <c r="D131" s="6">
        <v>2089999.0499999998</v>
      </c>
      <c r="E131" s="6">
        <f t="shared" ref="E131:E150" si="2">D131-C131</f>
        <v>589999.04999999981</v>
      </c>
    </row>
    <row r="132" spans="1:5" x14ac:dyDescent="0.25">
      <c r="A132" s="4">
        <v>130</v>
      </c>
      <c r="B132" s="10" t="s">
        <v>6</v>
      </c>
      <c r="C132" s="6">
        <v>7200000</v>
      </c>
      <c r="D132" s="6">
        <v>7980001</v>
      </c>
      <c r="E132" s="6">
        <f t="shared" si="2"/>
        <v>780001</v>
      </c>
    </row>
    <row r="133" spans="1:5" x14ac:dyDescent="0.25">
      <c r="A133" s="4">
        <v>131</v>
      </c>
      <c r="B133" s="10" t="s">
        <v>20</v>
      </c>
      <c r="C133" s="6">
        <v>500000</v>
      </c>
      <c r="D133" s="6">
        <v>709999</v>
      </c>
      <c r="E133" s="6">
        <f t="shared" si="2"/>
        <v>209999</v>
      </c>
    </row>
    <row r="134" spans="1:5" x14ac:dyDescent="0.25">
      <c r="A134" s="4">
        <v>132</v>
      </c>
      <c r="B134" s="10" t="s">
        <v>12</v>
      </c>
      <c r="C134" s="6">
        <v>168500</v>
      </c>
      <c r="D134" s="6">
        <v>228001</v>
      </c>
      <c r="E134" s="6">
        <f t="shared" si="2"/>
        <v>59501</v>
      </c>
    </row>
    <row r="135" spans="1:5" x14ac:dyDescent="0.25">
      <c r="A135" s="4">
        <v>133</v>
      </c>
      <c r="B135" s="4" t="s">
        <v>5</v>
      </c>
      <c r="C135" s="6">
        <v>7500000</v>
      </c>
      <c r="D135" s="6">
        <v>7638000</v>
      </c>
      <c r="E135" s="6">
        <f t="shared" si="2"/>
        <v>138000</v>
      </c>
    </row>
    <row r="136" spans="1:5" x14ac:dyDescent="0.25">
      <c r="A136" s="4">
        <v>134</v>
      </c>
      <c r="B136" s="4" t="s">
        <v>5</v>
      </c>
      <c r="C136" s="6">
        <v>7400000</v>
      </c>
      <c r="D136" s="6">
        <v>7800000</v>
      </c>
      <c r="E136" s="6">
        <f t="shared" si="2"/>
        <v>400000</v>
      </c>
    </row>
    <row r="137" spans="1:5" x14ac:dyDescent="0.25">
      <c r="A137" s="4">
        <v>135</v>
      </c>
      <c r="B137" s="10" t="s">
        <v>16</v>
      </c>
      <c r="C137" s="6">
        <v>2777777</v>
      </c>
      <c r="D137" s="6">
        <v>2949997</v>
      </c>
      <c r="E137" s="6">
        <f t="shared" si="2"/>
        <v>172220</v>
      </c>
    </row>
    <row r="138" spans="1:5" x14ac:dyDescent="0.25">
      <c r="A138" s="4">
        <v>136</v>
      </c>
      <c r="B138" s="10" t="s">
        <v>12</v>
      </c>
      <c r="C138" s="6">
        <v>190000</v>
      </c>
      <c r="D138" s="6">
        <v>239999</v>
      </c>
      <c r="E138" s="6">
        <f t="shared" si="2"/>
        <v>49999</v>
      </c>
    </row>
    <row r="139" spans="1:5" x14ac:dyDescent="0.25">
      <c r="A139" s="4">
        <v>137</v>
      </c>
      <c r="B139" s="4" t="s">
        <v>13</v>
      </c>
      <c r="C139" s="6">
        <v>4400000</v>
      </c>
      <c r="D139" s="6">
        <v>4999999</v>
      </c>
      <c r="E139" s="6">
        <f t="shared" si="2"/>
        <v>599999</v>
      </c>
    </row>
    <row r="140" spans="1:5" x14ac:dyDescent="0.25">
      <c r="A140" s="4">
        <v>138</v>
      </c>
      <c r="B140" s="10" t="s">
        <v>12</v>
      </c>
      <c r="C140" s="6">
        <v>170000</v>
      </c>
      <c r="D140" s="6">
        <v>219999</v>
      </c>
      <c r="E140" s="6">
        <f t="shared" si="2"/>
        <v>49999</v>
      </c>
    </row>
    <row r="141" spans="1:5" x14ac:dyDescent="0.25">
      <c r="A141" s="4">
        <v>139</v>
      </c>
      <c r="B141" s="10" t="s">
        <v>12</v>
      </c>
      <c r="C141" s="6">
        <v>187999</v>
      </c>
      <c r="D141" s="6">
        <v>239999</v>
      </c>
      <c r="E141" s="6">
        <f t="shared" si="2"/>
        <v>52000</v>
      </c>
    </row>
    <row r="142" spans="1:5" x14ac:dyDescent="0.25">
      <c r="A142" s="4">
        <v>140</v>
      </c>
      <c r="B142" s="10" t="s">
        <v>12</v>
      </c>
      <c r="C142" s="6">
        <v>180000</v>
      </c>
      <c r="D142" s="6">
        <v>210805</v>
      </c>
      <c r="E142" s="6">
        <f t="shared" si="2"/>
        <v>30805</v>
      </c>
    </row>
    <row r="143" spans="1:5" x14ac:dyDescent="0.25">
      <c r="A143" s="4">
        <v>141</v>
      </c>
      <c r="B143" s="10" t="s">
        <v>12</v>
      </c>
      <c r="C143" s="6">
        <v>170000</v>
      </c>
      <c r="D143" s="6">
        <v>210805</v>
      </c>
      <c r="E143" s="6">
        <f t="shared" si="2"/>
        <v>40805</v>
      </c>
    </row>
    <row r="144" spans="1:5" x14ac:dyDescent="0.25">
      <c r="A144" s="4">
        <v>142</v>
      </c>
      <c r="B144" s="10" t="s">
        <v>12</v>
      </c>
      <c r="C144" s="6">
        <v>180000</v>
      </c>
      <c r="D144" s="6">
        <v>210805</v>
      </c>
      <c r="E144" s="6">
        <f t="shared" si="2"/>
        <v>30805</v>
      </c>
    </row>
    <row r="145" spans="1:5" x14ac:dyDescent="0.25">
      <c r="A145" s="4">
        <v>143</v>
      </c>
      <c r="B145" s="10" t="s">
        <v>12</v>
      </c>
      <c r="C145" s="6">
        <v>185000</v>
      </c>
      <c r="D145" s="6">
        <v>228000</v>
      </c>
      <c r="E145" s="6">
        <f t="shared" si="2"/>
        <v>43000</v>
      </c>
    </row>
    <row r="146" spans="1:5" x14ac:dyDescent="0.25">
      <c r="A146" s="4">
        <v>144</v>
      </c>
      <c r="B146" s="10" t="s">
        <v>12</v>
      </c>
      <c r="C146" s="6">
        <v>185000</v>
      </c>
      <c r="D146" s="6">
        <v>209000</v>
      </c>
      <c r="E146" s="6">
        <f t="shared" si="2"/>
        <v>24000</v>
      </c>
    </row>
    <row r="147" spans="1:5" x14ac:dyDescent="0.25">
      <c r="A147" s="4">
        <v>145</v>
      </c>
      <c r="B147" s="10" t="s">
        <v>12</v>
      </c>
      <c r="C147" s="6">
        <v>180000</v>
      </c>
      <c r="D147" s="6">
        <v>209001</v>
      </c>
      <c r="E147" s="6">
        <f t="shared" si="2"/>
        <v>29001</v>
      </c>
    </row>
    <row r="148" spans="1:5" x14ac:dyDescent="0.25">
      <c r="A148" s="4">
        <v>146</v>
      </c>
      <c r="B148" s="4" t="s">
        <v>17</v>
      </c>
      <c r="C148" s="6">
        <v>3000000</v>
      </c>
      <c r="D148" s="6">
        <v>3220501</v>
      </c>
      <c r="E148" s="6">
        <f t="shared" si="2"/>
        <v>220501</v>
      </c>
    </row>
    <row r="149" spans="1:5" x14ac:dyDescent="0.25">
      <c r="A149" s="4">
        <v>147</v>
      </c>
      <c r="B149" s="4" t="s">
        <v>17</v>
      </c>
      <c r="C149" s="6">
        <v>3000000</v>
      </c>
      <c r="D149" s="6">
        <v>3220501</v>
      </c>
      <c r="E149" s="6">
        <f t="shared" si="2"/>
        <v>220501</v>
      </c>
    </row>
    <row r="150" spans="1:5" x14ac:dyDescent="0.25">
      <c r="A150" s="4">
        <v>148</v>
      </c>
      <c r="B150" s="4" t="s">
        <v>13</v>
      </c>
      <c r="C150" s="6">
        <v>4500000</v>
      </c>
      <c r="D150" s="6">
        <v>4748943</v>
      </c>
      <c r="E150" s="6">
        <f t="shared" si="2"/>
        <v>248943</v>
      </c>
    </row>
    <row r="151" spans="1:5" x14ac:dyDescent="0.25">
      <c r="A151" s="89" t="s">
        <v>8</v>
      </c>
      <c r="B151" s="89"/>
      <c r="C151" s="89"/>
      <c r="D151" s="89"/>
      <c r="E151" s="8">
        <v>1942433</v>
      </c>
    </row>
    <row r="152" spans="1:5" x14ac:dyDescent="0.25">
      <c r="A152" s="89" t="s">
        <v>9</v>
      </c>
      <c r="B152" s="89"/>
      <c r="C152" s="89"/>
      <c r="D152" s="89"/>
      <c r="E152" s="8">
        <f>SUM(E3:E150)-E151</f>
        <v>19561480.550000001</v>
      </c>
    </row>
  </sheetData>
  <autoFilter ref="A1:E152" xr:uid="{937AACBA-CF9F-48A9-B3ED-69FF9CAB9048}"/>
  <mergeCells count="3">
    <mergeCell ref="A151:D151"/>
    <mergeCell ref="A152:D152"/>
    <mergeCell ref="A2:E2"/>
  </mergeCells>
  <conditionalFormatting sqref="E1">
    <cfRule type="cellIs" dxfId="2" priority="2" operator="lessThan">
      <formula>0</formula>
    </cfRule>
  </conditionalFormatting>
  <conditionalFormatting sqref="E3:E152">
    <cfRule type="cellIs" dxfId="1" priority="1" operator="lessThan">
      <formula>0</formula>
    </cfRule>
  </conditionalFormatting>
  <pageMargins left="0.7" right="0.7" top="0.75" bottom="0.75" header="0.3" footer="0.3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zoomScale="145" zoomScaleNormal="145" workbookViewId="0">
      <pane ySplit="1" topLeftCell="A11" activePane="bottomLeft" state="frozen"/>
      <selection pane="bottomLeft" activeCell="D28" sqref="D28"/>
    </sheetView>
  </sheetViews>
  <sheetFormatPr defaultRowHeight="15" x14ac:dyDescent="0.25"/>
  <cols>
    <col min="1" max="1" width="4" customWidth="1"/>
    <col min="2" max="2" width="38.5703125" bestFit="1" customWidth="1"/>
    <col min="3" max="3" width="21.140625" customWidth="1"/>
    <col min="4" max="4" width="14.85546875" customWidth="1"/>
    <col min="5" max="5" width="15" customWidth="1"/>
    <col min="6" max="6" width="11.28515625" customWidth="1"/>
    <col min="7" max="7" width="20.28515625" bestFit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</row>
    <row r="2" spans="1:7" x14ac:dyDescent="0.25">
      <c r="A2" s="87">
        <v>46028</v>
      </c>
      <c r="B2" s="87"/>
      <c r="C2" s="87"/>
      <c r="D2" s="87"/>
      <c r="E2" s="87"/>
    </row>
    <row r="3" spans="1:7" x14ac:dyDescent="0.25">
      <c r="A3" s="4">
        <v>1</v>
      </c>
      <c r="B3" s="4" t="s">
        <v>5</v>
      </c>
      <c r="C3" s="5">
        <v>8500000</v>
      </c>
      <c r="D3" s="6">
        <v>8929999</v>
      </c>
      <c r="E3" s="7">
        <f t="shared" ref="E3:E28" si="0">D3-C3</f>
        <v>429999</v>
      </c>
      <c r="G3" s="16"/>
    </row>
    <row r="4" spans="1:7" x14ac:dyDescent="0.25">
      <c r="A4" s="4">
        <v>2</v>
      </c>
      <c r="B4" s="4" t="s">
        <v>6</v>
      </c>
      <c r="C4" s="5">
        <v>7750000</v>
      </c>
      <c r="D4" s="6">
        <v>8217499.0499999998</v>
      </c>
      <c r="E4" s="7">
        <f t="shared" si="0"/>
        <v>467499.04999999981</v>
      </c>
    </row>
    <row r="5" spans="1:7" x14ac:dyDescent="0.25">
      <c r="A5" s="4">
        <v>3</v>
      </c>
      <c r="B5" s="4" t="s">
        <v>6</v>
      </c>
      <c r="C5" s="5">
        <v>8000000</v>
      </c>
      <c r="D5" s="6">
        <v>8217499.0499999998</v>
      </c>
      <c r="E5" s="7">
        <f t="shared" si="0"/>
        <v>217499.04999999981</v>
      </c>
    </row>
    <row r="6" spans="1:7" x14ac:dyDescent="0.25">
      <c r="A6" s="4">
        <v>4</v>
      </c>
      <c r="B6" s="4" t="s">
        <v>6</v>
      </c>
      <c r="C6" s="5">
        <v>8000000</v>
      </c>
      <c r="D6" s="6">
        <v>8193749.0499999998</v>
      </c>
      <c r="E6" s="7">
        <f t="shared" si="0"/>
        <v>193749.04999999981</v>
      </c>
      <c r="G6" s="16"/>
    </row>
    <row r="7" spans="1:7" x14ac:dyDescent="0.25">
      <c r="A7" s="4">
        <v>5</v>
      </c>
      <c r="B7" s="4" t="s">
        <v>6</v>
      </c>
      <c r="C7" s="5">
        <v>8100000</v>
      </c>
      <c r="D7" s="6">
        <v>8193749.0499999998</v>
      </c>
      <c r="E7" s="7">
        <f t="shared" si="0"/>
        <v>93749.049999999814</v>
      </c>
      <c r="G7" s="1"/>
    </row>
    <row r="8" spans="1:7" x14ac:dyDescent="0.25">
      <c r="A8" s="4">
        <v>6</v>
      </c>
      <c r="B8" s="4" t="s">
        <v>5</v>
      </c>
      <c r="C8" s="5">
        <v>8500000</v>
      </c>
      <c r="D8" s="6">
        <v>8739999.0499999989</v>
      </c>
      <c r="E8" s="7">
        <f t="shared" si="0"/>
        <v>239999.04999999888</v>
      </c>
    </row>
    <row r="9" spans="1:7" x14ac:dyDescent="0.25">
      <c r="A9" s="4">
        <v>7</v>
      </c>
      <c r="B9" s="4" t="s">
        <v>6</v>
      </c>
      <c r="C9" s="5">
        <v>8000000</v>
      </c>
      <c r="D9" s="6">
        <v>8193749.0499999998</v>
      </c>
      <c r="E9" s="7">
        <f t="shared" si="0"/>
        <v>193749.04999999981</v>
      </c>
    </row>
    <row r="10" spans="1:7" x14ac:dyDescent="0.25">
      <c r="A10" s="4">
        <v>8</v>
      </c>
      <c r="B10" s="4" t="s">
        <v>6</v>
      </c>
      <c r="C10" s="5">
        <v>8000000</v>
      </c>
      <c r="D10" s="6">
        <v>8193749.0499999998</v>
      </c>
      <c r="E10" s="7">
        <f t="shared" si="0"/>
        <v>193749.04999999981</v>
      </c>
    </row>
    <row r="11" spans="1:7" x14ac:dyDescent="0.25">
      <c r="A11" s="4">
        <v>9</v>
      </c>
      <c r="B11" s="4" t="s">
        <v>6</v>
      </c>
      <c r="C11" s="5">
        <v>8100000</v>
      </c>
      <c r="D11" s="6">
        <v>8193749.0499999998</v>
      </c>
      <c r="E11" s="7">
        <f t="shared" si="0"/>
        <v>93749.049999999814</v>
      </c>
    </row>
    <row r="12" spans="1:7" x14ac:dyDescent="0.25">
      <c r="A12" s="4">
        <v>10</v>
      </c>
      <c r="B12" s="4" t="s">
        <v>5</v>
      </c>
      <c r="C12" s="5">
        <v>8500000</v>
      </c>
      <c r="D12" s="6">
        <v>8692499.0499999989</v>
      </c>
      <c r="E12" s="7">
        <f t="shared" si="0"/>
        <v>192499.04999999888</v>
      </c>
    </row>
    <row r="13" spans="1:7" x14ac:dyDescent="0.25">
      <c r="A13" s="4">
        <v>11</v>
      </c>
      <c r="B13" s="4" t="s">
        <v>6</v>
      </c>
      <c r="C13" s="5">
        <v>8100000</v>
      </c>
      <c r="D13" s="6">
        <v>8193749.0499999998</v>
      </c>
      <c r="E13" s="7">
        <f t="shared" si="0"/>
        <v>93749.049999999814</v>
      </c>
    </row>
    <row r="14" spans="1:7" x14ac:dyDescent="0.25">
      <c r="A14" s="4">
        <v>12</v>
      </c>
      <c r="B14" s="4" t="s">
        <v>7</v>
      </c>
      <c r="C14" s="5">
        <v>12900000</v>
      </c>
      <c r="D14" s="6">
        <v>13202149.049999999</v>
      </c>
      <c r="E14" s="7">
        <f t="shared" si="0"/>
        <v>302149.04999999888</v>
      </c>
    </row>
    <row r="15" spans="1:7" x14ac:dyDescent="0.25">
      <c r="A15" s="4">
        <v>13</v>
      </c>
      <c r="B15" s="4" t="s">
        <v>7</v>
      </c>
      <c r="C15" s="5">
        <v>13000000</v>
      </c>
      <c r="D15" s="6">
        <v>13204999.049999999</v>
      </c>
      <c r="E15" s="7">
        <f t="shared" si="0"/>
        <v>204999.04999999888</v>
      </c>
    </row>
    <row r="16" spans="1:7" x14ac:dyDescent="0.25">
      <c r="A16" s="4">
        <v>14</v>
      </c>
      <c r="B16" s="4" t="s">
        <v>7</v>
      </c>
      <c r="C16" s="5">
        <v>13200000</v>
      </c>
      <c r="D16" s="6">
        <v>13289549.049999999</v>
      </c>
      <c r="E16" s="7">
        <f t="shared" si="0"/>
        <v>89549.049999998882</v>
      </c>
    </row>
    <row r="17" spans="1:5" x14ac:dyDescent="0.25">
      <c r="A17" s="4">
        <v>15</v>
      </c>
      <c r="B17" s="4" t="s">
        <v>7</v>
      </c>
      <c r="C17" s="5">
        <v>13200000</v>
      </c>
      <c r="D17" s="6">
        <v>13289549.049999999</v>
      </c>
      <c r="E17" s="7">
        <f t="shared" si="0"/>
        <v>89549.049999998882</v>
      </c>
    </row>
    <row r="18" spans="1:5" x14ac:dyDescent="0.25">
      <c r="A18" s="4">
        <v>16</v>
      </c>
      <c r="B18" s="4" t="s">
        <v>6</v>
      </c>
      <c r="C18" s="5">
        <v>8100000</v>
      </c>
      <c r="D18" s="6">
        <v>8193749.0499999998</v>
      </c>
      <c r="E18" s="7">
        <f t="shared" si="0"/>
        <v>93749.049999999814</v>
      </c>
    </row>
    <row r="19" spans="1:5" x14ac:dyDescent="0.25">
      <c r="A19" s="4">
        <v>17</v>
      </c>
      <c r="B19" s="4" t="s">
        <v>7</v>
      </c>
      <c r="C19" s="5">
        <v>13200000</v>
      </c>
      <c r="D19" s="6">
        <v>13280999.049999999</v>
      </c>
      <c r="E19" s="7">
        <f t="shared" si="0"/>
        <v>80999.049999998882</v>
      </c>
    </row>
    <row r="20" spans="1:5" x14ac:dyDescent="0.25">
      <c r="A20" s="4">
        <v>18</v>
      </c>
      <c r="B20" s="4" t="s">
        <v>7</v>
      </c>
      <c r="C20" s="5">
        <v>12000000</v>
      </c>
      <c r="D20" s="6">
        <v>13280999.049999999</v>
      </c>
      <c r="E20" s="7">
        <f t="shared" si="0"/>
        <v>1280999.0499999989</v>
      </c>
    </row>
    <row r="21" spans="1:5" x14ac:dyDescent="0.25">
      <c r="A21" s="4">
        <v>19</v>
      </c>
      <c r="B21" s="4" t="s">
        <v>7</v>
      </c>
      <c r="C21" s="5">
        <v>13000000</v>
      </c>
      <c r="D21" s="6">
        <v>13280999.049999999</v>
      </c>
      <c r="E21" s="7">
        <f t="shared" si="0"/>
        <v>280999.04999999888</v>
      </c>
    </row>
    <row r="22" spans="1:5" x14ac:dyDescent="0.25">
      <c r="A22" s="4">
        <v>20</v>
      </c>
      <c r="B22" s="4" t="s">
        <v>6</v>
      </c>
      <c r="C22" s="5">
        <v>8100000</v>
      </c>
      <c r="D22" s="6">
        <v>8193749.0499999998</v>
      </c>
      <c r="E22" s="7">
        <f t="shared" si="0"/>
        <v>93749.049999999814</v>
      </c>
    </row>
    <row r="23" spans="1:5" x14ac:dyDescent="0.25">
      <c r="A23" s="4">
        <v>21</v>
      </c>
      <c r="B23" s="4" t="s">
        <v>6</v>
      </c>
      <c r="C23" s="5">
        <v>8000000</v>
      </c>
      <c r="D23" s="6">
        <v>8193749.0499999998</v>
      </c>
      <c r="E23" s="7">
        <f t="shared" si="0"/>
        <v>193749.04999999981</v>
      </c>
    </row>
    <row r="24" spans="1:5" x14ac:dyDescent="0.25">
      <c r="A24" s="4">
        <v>22</v>
      </c>
      <c r="B24" s="4" t="s">
        <v>6</v>
      </c>
      <c r="C24" s="5">
        <v>8000000</v>
      </c>
      <c r="D24" s="6">
        <v>8193749.0499999998</v>
      </c>
      <c r="E24" s="7">
        <f t="shared" si="0"/>
        <v>193749.04999999981</v>
      </c>
    </row>
    <row r="25" spans="1:5" x14ac:dyDescent="0.25">
      <c r="A25" s="4">
        <v>23</v>
      </c>
      <c r="B25" s="4" t="s">
        <v>7</v>
      </c>
      <c r="C25" s="5">
        <v>12600000</v>
      </c>
      <c r="D25" s="6">
        <v>13280999.049999999</v>
      </c>
      <c r="E25" s="7">
        <f t="shared" si="0"/>
        <v>680999.04999999888</v>
      </c>
    </row>
    <row r="26" spans="1:5" x14ac:dyDescent="0.25">
      <c r="A26" s="4">
        <v>24</v>
      </c>
      <c r="B26" s="4" t="s">
        <v>5</v>
      </c>
      <c r="C26" s="5">
        <v>8211111</v>
      </c>
      <c r="D26" s="6">
        <v>8692499.0499999989</v>
      </c>
      <c r="E26" s="7">
        <f t="shared" si="0"/>
        <v>481388.04999999888</v>
      </c>
    </row>
    <row r="27" spans="1:5" x14ac:dyDescent="0.25">
      <c r="A27" s="4">
        <v>25</v>
      </c>
      <c r="B27" s="4" t="s">
        <v>5</v>
      </c>
      <c r="C27" s="5">
        <v>8400000</v>
      </c>
      <c r="D27" s="6">
        <v>9024999.0499999989</v>
      </c>
      <c r="E27" s="7">
        <f t="shared" si="0"/>
        <v>624999.04999999888</v>
      </c>
    </row>
    <row r="28" spans="1:5" x14ac:dyDescent="0.25">
      <c r="A28" s="4">
        <v>26</v>
      </c>
      <c r="B28" s="4" t="s">
        <v>6</v>
      </c>
      <c r="C28" s="5">
        <v>8000000</v>
      </c>
      <c r="D28" s="6">
        <v>8193749.0499999998</v>
      </c>
      <c r="E28" s="7">
        <f t="shared" si="0"/>
        <v>193749.04999999981</v>
      </c>
    </row>
    <row r="29" spans="1:5" x14ac:dyDescent="0.25">
      <c r="A29" s="89" t="s">
        <v>8</v>
      </c>
      <c r="B29" s="89"/>
      <c r="C29" s="89"/>
      <c r="D29" s="89"/>
      <c r="E29" s="8">
        <v>0</v>
      </c>
    </row>
    <row r="30" spans="1:5" x14ac:dyDescent="0.25">
      <c r="A30" s="89" t="s">
        <v>9</v>
      </c>
      <c r="B30" s="89"/>
      <c r="C30" s="89"/>
      <c r="D30" s="89"/>
      <c r="E30" s="8">
        <f>SUM(E3:E28)-E29</f>
        <v>7295364.2499999842</v>
      </c>
    </row>
    <row r="31" spans="1:5" x14ac:dyDescent="0.25">
      <c r="A31" t="s">
        <v>50</v>
      </c>
    </row>
  </sheetData>
  <autoFilter ref="A1:E31" xr:uid="{00000000-0001-0000-0000-000000000000}"/>
  <mergeCells count="3">
    <mergeCell ref="A30:D30"/>
    <mergeCell ref="A29:D29"/>
    <mergeCell ref="A2:E2"/>
  </mergeCells>
  <conditionalFormatting sqref="E1 E3:E30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38</vt:i4>
      </vt:variant>
    </vt:vector>
  </HeadingPairs>
  <TitlesOfParts>
    <vt:vector size="38" baseType="lpstr">
      <vt:lpstr>16.02.2026</vt:lpstr>
      <vt:lpstr>15.02.2026 (!)</vt:lpstr>
      <vt:lpstr>14.02.2026</vt:lpstr>
      <vt:lpstr>13.02.2026</vt:lpstr>
      <vt:lpstr>12.02.2026</vt:lpstr>
      <vt:lpstr>11.02.2026</vt:lpstr>
      <vt:lpstr>10.02.2026</vt:lpstr>
      <vt:lpstr>09.02.2026</vt:lpstr>
      <vt:lpstr>08.02.2026</vt:lpstr>
      <vt:lpstr>06.02.2026</vt:lpstr>
      <vt:lpstr>07.02.2026</vt:lpstr>
      <vt:lpstr>05.02.2026</vt:lpstr>
      <vt:lpstr>04.02.2026</vt:lpstr>
      <vt:lpstr>03.02.2026</vt:lpstr>
      <vt:lpstr>30.01.2026</vt:lpstr>
      <vt:lpstr>29.01.2026 (!)</vt:lpstr>
      <vt:lpstr>28.01.2026 (!)</vt:lpstr>
      <vt:lpstr>27.01.2026 (!)</vt:lpstr>
      <vt:lpstr>26.01.2026</vt:lpstr>
      <vt:lpstr>25.01.2026</vt:lpstr>
      <vt:lpstr>24.01.2026</vt:lpstr>
      <vt:lpstr>23.01.2026</vt:lpstr>
      <vt:lpstr>22.01.2026</vt:lpstr>
      <vt:lpstr>21.01.2026 (!)</vt:lpstr>
      <vt:lpstr>19.01.2026</vt:lpstr>
      <vt:lpstr>20.01.2026</vt:lpstr>
      <vt:lpstr>18.01.2026</vt:lpstr>
      <vt:lpstr>17.01.2026</vt:lpstr>
      <vt:lpstr>16.01.2026</vt:lpstr>
      <vt:lpstr>14.01.2026 (!)</vt:lpstr>
      <vt:lpstr>13.01.2026</vt:lpstr>
      <vt:lpstr>12.01.2026</vt:lpstr>
      <vt:lpstr>11.01.2026</vt:lpstr>
      <vt:lpstr>10.01.2026</vt:lpstr>
      <vt:lpstr>09.01.2026</vt:lpstr>
      <vt:lpstr>08.01.2026</vt:lpstr>
      <vt:lpstr>07.01.2026</vt:lpstr>
      <vt:lpstr>06.01.2026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obkaiter</dc:creator>
  <cp:lastModifiedBy>d4niil</cp:lastModifiedBy>
  <dcterms:created xsi:type="dcterms:W3CDTF">2015-06-05T18:19:34Z</dcterms:created>
  <dcterms:modified xsi:type="dcterms:W3CDTF">2026-02-16T16:06:20Z</dcterms:modified>
</cp:coreProperties>
</file>